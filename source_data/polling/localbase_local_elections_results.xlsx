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backupFile="1"/>
  <mc:AlternateContent xmlns:mc="http://schemas.openxmlformats.org/markup-compatibility/2006">
    <mc:Choice Requires="x15">
      <x15ac:absPath xmlns:x15ac="http://schemas.microsoft.com/office/spreadsheetml/2010/11/ac" url="https://hopuk-my.sharepoint.com/personal/packm_parliament_uk/Documents/Pooled docs/"/>
    </mc:Choice>
  </mc:AlternateContent>
  <xr:revisionPtr revIDLastSave="882" documentId="13_ncr:1_{722FEDB1-2D95-4109-8DA3-5FC0E5D1580F}" xr6:coauthVersionLast="47" xr6:coauthVersionMax="47" xr10:uidLastSave="{8E1FDF9E-F0E3-4CD4-B82B-D2A9BB77BAB1}"/>
  <bookViews>
    <workbookView xWindow="-108" yWindow="-108" windowWidth="23256" windowHeight="13896" activeTab="1" xr2:uid="{00000000-000D-0000-FFFF-FFFF00000000}"/>
  </bookViews>
  <sheets>
    <sheet name="Introduction" sheetId="6" r:id="rId1"/>
    <sheet name="Results" sheetId="1" r:id="rId2"/>
    <sheet name="Candidates and councillors" sheetId="5" r:id="rId3"/>
    <sheet name="London" sheetId="3" r:id="rId4"/>
  </sheets>
  <definedNames>
    <definedName name="_xlnm._FilterDatabase" localSheetId="2" hidden="1">'Candidates and councillors'!$A$1:$I$201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3" i="3" l="1"/>
  <c r="S3" i="3"/>
  <c r="P3" i="3"/>
  <c r="L19" i="3"/>
  <c r="L18" i="3"/>
  <c r="L17" i="3"/>
  <c r="L16" i="3"/>
  <c r="L15" i="3"/>
  <c r="L14" i="3"/>
  <c r="L13" i="3"/>
  <c r="L12" i="3"/>
  <c r="L11" i="3"/>
  <c r="L10" i="3"/>
  <c r="L9" i="3"/>
  <c r="L8" i="3"/>
  <c r="L7" i="3"/>
  <c r="L6" i="3"/>
  <c r="L5" i="3"/>
  <c r="L4" i="3"/>
  <c r="L3" i="3"/>
  <c r="H19" i="3"/>
  <c r="H18" i="3"/>
  <c r="H17" i="3"/>
  <c r="H16" i="3"/>
  <c r="H15" i="3"/>
  <c r="H14" i="3"/>
  <c r="H13" i="3"/>
  <c r="H12" i="3"/>
  <c r="H11" i="3"/>
  <c r="H10" i="3"/>
  <c r="H9" i="3"/>
  <c r="H8" i="3"/>
  <c r="H7" i="3"/>
  <c r="H6" i="3"/>
  <c r="H5" i="3"/>
  <c r="H4" i="3"/>
  <c r="H3" i="3"/>
  <c r="D19" i="3"/>
  <c r="D18" i="3"/>
  <c r="D17" i="3"/>
  <c r="D16" i="3"/>
  <c r="D15" i="3"/>
  <c r="D14" i="3"/>
  <c r="D13" i="3"/>
  <c r="D12" i="3"/>
  <c r="D11" i="3"/>
  <c r="D10" i="3"/>
  <c r="D9" i="3"/>
  <c r="D8" i="3"/>
  <c r="D7" i="3"/>
  <c r="D6" i="3"/>
  <c r="D5" i="3"/>
  <c r="D4" i="3"/>
  <c r="D3" i="3"/>
  <c r="W3" i="3"/>
  <c r="AR57" i="1"/>
  <c r="AQ57" i="1"/>
  <c r="AR58" i="1"/>
  <c r="AQ58" i="1"/>
  <c r="AP58" i="1"/>
  <c r="AO58" i="1"/>
  <c r="AN58" i="1"/>
  <c r="AC58" i="1"/>
  <c r="X58" i="1"/>
  <c r="G58" i="1"/>
  <c r="L58" i="1"/>
  <c r="N58" i="1"/>
  <c r="S58" i="1"/>
  <c r="AA11" i="5"/>
  <c r="T11" i="5"/>
  <c r="N11" i="5"/>
  <c r="AC10" i="5"/>
  <c r="AC9" i="5"/>
  <c r="AB8" i="5"/>
  <c r="AB11" i="5" s="1"/>
  <c r="Z8" i="5"/>
  <c r="Z11" i="5" s="1"/>
  <c r="Y8" i="5"/>
  <c r="Y11" i="5" s="1"/>
  <c r="X8" i="5"/>
  <c r="X11" i="5" s="1"/>
  <c r="W8" i="5"/>
  <c r="W11" i="5" s="1"/>
  <c r="V8" i="5"/>
  <c r="V11" i="5" s="1"/>
  <c r="S8" i="5"/>
  <c r="S11" i="5" s="1"/>
  <c r="R8" i="5"/>
  <c r="R11" i="5" s="1"/>
  <c r="Q8" i="5"/>
  <c r="Q11" i="5" s="1"/>
  <c r="P8" i="5"/>
  <c r="P11" i="5" s="1"/>
  <c r="O8" i="5"/>
  <c r="O11" i="5" s="1"/>
  <c r="N8" i="5"/>
  <c r="G11" i="5"/>
  <c r="F11" i="5"/>
  <c r="E11" i="5"/>
  <c r="D11" i="5"/>
  <c r="C11" i="5"/>
  <c r="AC7" i="5"/>
  <c r="AC6" i="5"/>
  <c r="AC5" i="5"/>
  <c r="H8" i="5"/>
  <c r="H11" i="5" s="1"/>
  <c r="AC4" i="5"/>
  <c r="AC3" i="5"/>
  <c r="G18" i="5"/>
  <c r="F18" i="5"/>
  <c r="E18" i="5"/>
  <c r="D18" i="5"/>
  <c r="C18" i="5"/>
  <c r="H14" i="5"/>
  <c r="H15" i="5"/>
  <c r="H16" i="5"/>
  <c r="AA21" i="5"/>
  <c r="AC20" i="5"/>
  <c r="AC19" i="5"/>
  <c r="AC17" i="5"/>
  <c r="AC16" i="5"/>
  <c r="AC15" i="5"/>
  <c r="AC14" i="5"/>
  <c r="AC13" i="5"/>
  <c r="Y18" i="5"/>
  <c r="Y21" i="5" s="1"/>
  <c r="AB18" i="5"/>
  <c r="AB21" i="5" s="1"/>
  <c r="Z18" i="5"/>
  <c r="Z21" i="5" s="1"/>
  <c r="X18" i="5"/>
  <c r="X21" i="5" s="1"/>
  <c r="W18" i="5"/>
  <c r="W21" i="5" s="1"/>
  <c r="V18" i="5"/>
  <c r="V21" i="5" s="1"/>
  <c r="Q18" i="5"/>
  <c r="Q21" i="5" s="1"/>
  <c r="S18" i="5"/>
  <c r="S21" i="5" s="1"/>
  <c r="R18" i="5"/>
  <c r="R21" i="5" s="1"/>
  <c r="P18" i="5"/>
  <c r="P21" i="5" s="1"/>
  <c r="O18" i="5"/>
  <c r="O21" i="5" s="1"/>
  <c r="N18" i="5"/>
  <c r="N21" i="5" s="1"/>
  <c r="T21" i="5"/>
  <c r="N12" i="5" l="1"/>
  <c r="O12" i="5"/>
  <c r="T12" i="5"/>
  <c r="S12" i="5"/>
  <c r="Z12" i="5"/>
  <c r="Q12" i="5"/>
  <c r="W12" i="5"/>
  <c r="AA12" i="5"/>
  <c r="AC11" i="5"/>
  <c r="V12" i="5"/>
  <c r="X12" i="5"/>
  <c r="Y12" i="5"/>
  <c r="P12" i="5"/>
  <c r="R12" i="5"/>
  <c r="AB12" i="5"/>
  <c r="K8" i="5"/>
  <c r="L8" i="5"/>
  <c r="AC8" i="5"/>
  <c r="H18" i="5"/>
  <c r="Y22" i="5"/>
  <c r="AB22" i="5"/>
  <c r="X22" i="5"/>
  <c r="AC21" i="5"/>
  <c r="W22" i="5"/>
  <c r="Z22" i="5"/>
  <c r="V22" i="5"/>
  <c r="AA22" i="5"/>
  <c r="AC18" i="5"/>
  <c r="Q22" i="5"/>
  <c r="N22" i="5"/>
  <c r="O22" i="5"/>
  <c r="P22" i="5"/>
  <c r="R22" i="5"/>
  <c r="T22" i="5"/>
  <c r="S22" i="5"/>
  <c r="L18" i="5"/>
  <c r="K18" i="5"/>
  <c r="AP57" i="1"/>
  <c r="AO57" i="1"/>
  <c r="AN57" i="1"/>
  <c r="X57" i="1" l="1"/>
  <c r="AC57" i="1"/>
  <c r="L57" i="1"/>
  <c r="G57"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57" i="1"/>
  <c r="N56" i="1"/>
  <c r="S57" i="1" l="1"/>
  <c r="AC27" i="1"/>
  <c r="AC36" i="1"/>
  <c r="AC37" i="1"/>
  <c r="AC42" i="1"/>
  <c r="C24" i="1"/>
  <c r="C25" i="1"/>
  <c r="C26" i="1"/>
  <c r="AC26" i="1" s="1"/>
  <c r="S32" i="1"/>
  <c r="S31" i="1"/>
  <c r="S27" i="1"/>
  <c r="L32" i="1"/>
  <c r="L31" i="1"/>
  <c r="L27" i="1"/>
  <c r="G32" i="1"/>
  <c r="G31" i="1"/>
  <c r="G27" i="1"/>
  <c r="C28" i="1"/>
  <c r="L28" i="1" s="1"/>
  <c r="C29" i="1"/>
  <c r="S29" i="1" s="1"/>
  <c r="C30" i="1"/>
  <c r="S38" i="1"/>
  <c r="S37" i="1"/>
  <c r="S36" i="1"/>
  <c r="S35" i="1"/>
  <c r="S34" i="1"/>
  <c r="S33" i="1"/>
  <c r="L38" i="1"/>
  <c r="L37" i="1"/>
  <c r="L36" i="1"/>
  <c r="L35" i="1"/>
  <c r="L34" i="1"/>
  <c r="L33" i="1"/>
  <c r="G38" i="1"/>
  <c r="G37" i="1"/>
  <c r="G36" i="1"/>
  <c r="G35" i="1"/>
  <c r="G34" i="1"/>
  <c r="G33" i="1"/>
  <c r="C39" i="1"/>
  <c r="G39" i="1" s="1"/>
  <c r="C54" i="1"/>
  <c r="C50" i="1"/>
  <c r="S41" i="1"/>
  <c r="L41" i="1"/>
  <c r="G41" i="1"/>
  <c r="C40" i="1"/>
  <c r="AC46" i="1"/>
  <c r="AC47" i="1"/>
  <c r="AC48" i="1"/>
  <c r="AC49" i="1"/>
  <c r="X46" i="1"/>
  <c r="X47" i="1"/>
  <c r="X48" i="1"/>
  <c r="X49" i="1"/>
  <c r="S49" i="1"/>
  <c r="S48" i="1"/>
  <c r="S47" i="1"/>
  <c r="S46" i="1"/>
  <c r="S44" i="1"/>
  <c r="S43" i="1"/>
  <c r="S42" i="1"/>
  <c r="L49" i="1"/>
  <c r="L48" i="1"/>
  <c r="L47" i="1"/>
  <c r="L46" i="1"/>
  <c r="L44" i="1"/>
  <c r="L43" i="1"/>
  <c r="L42" i="1"/>
  <c r="G49" i="1"/>
  <c r="G48" i="1"/>
  <c r="G47" i="1"/>
  <c r="G46" i="1"/>
  <c r="G44" i="1"/>
  <c r="G43" i="1"/>
  <c r="G42" i="1"/>
  <c r="C45" i="1"/>
  <c r="AC45" i="1" s="1"/>
  <c r="L40" i="1" l="1"/>
  <c r="S40" i="1"/>
  <c r="AC24" i="1"/>
  <c r="L24" i="1"/>
  <c r="S24" i="1"/>
  <c r="AC25" i="1"/>
  <c r="S25" i="1"/>
  <c r="S30" i="1"/>
  <c r="G30" i="1"/>
  <c r="AC39" i="1"/>
  <c r="L39" i="1"/>
  <c r="S39" i="1"/>
  <c r="G26" i="1"/>
  <c r="L26" i="1"/>
  <c r="S26" i="1"/>
  <c r="G28" i="1"/>
  <c r="S28" i="1"/>
  <c r="G45" i="1"/>
  <c r="L45" i="1"/>
  <c r="S45" i="1"/>
  <c r="G40" i="1"/>
  <c r="L29" i="1"/>
  <c r="G25" i="1"/>
  <c r="G24" i="1"/>
  <c r="L30" i="1"/>
  <c r="G29" i="1"/>
  <c r="AC28" i="1"/>
  <c r="L25" i="1"/>
  <c r="AC56" i="1"/>
  <c r="AC55" i="1"/>
  <c r="AC54" i="1"/>
  <c r="AC53" i="1"/>
  <c r="AC52" i="1"/>
  <c r="AC51" i="1"/>
  <c r="AC50" i="1"/>
  <c r="X53" i="1"/>
  <c r="X52" i="1"/>
  <c r="X51" i="1"/>
  <c r="S56" i="1"/>
  <c r="S55" i="1"/>
  <c r="S54" i="1"/>
  <c r="S53" i="1"/>
  <c r="S52" i="1"/>
  <c r="S51" i="1"/>
  <c r="S50" i="1"/>
  <c r="L56" i="1"/>
  <c r="L55" i="1"/>
  <c r="L54" i="1"/>
  <c r="L53" i="1"/>
  <c r="L52" i="1"/>
  <c r="L51" i="1"/>
  <c r="L50" i="1"/>
  <c r="G56" i="1"/>
  <c r="G55" i="1"/>
  <c r="G54" i="1"/>
  <c r="G53" i="1"/>
  <c r="G52" i="1"/>
  <c r="G51" i="1"/>
  <c r="G50" i="1"/>
  <c r="H21" i="5"/>
  <c r="G21" i="5"/>
  <c r="F21" i="5"/>
  <c r="E21" i="5"/>
  <c r="D21" i="5"/>
  <c r="C21" i="5"/>
  <c r="H27" i="5"/>
  <c r="H25" i="5"/>
  <c r="H24" i="5"/>
  <c r="T31" i="5"/>
  <c r="AA31" i="5"/>
  <c r="AC30" i="5"/>
  <c r="AC29" i="5"/>
  <c r="AB28" i="5"/>
  <c r="AB31" i="5" s="1"/>
  <c r="Z28" i="5"/>
  <c r="Z31" i="5" s="1"/>
  <c r="X28" i="5"/>
  <c r="X31" i="5" s="1"/>
  <c r="W28" i="5"/>
  <c r="W31" i="5" s="1"/>
  <c r="V28" i="5"/>
  <c r="V31" i="5" s="1"/>
  <c r="S28" i="5"/>
  <c r="S31" i="5" s="1"/>
  <c r="R28" i="5"/>
  <c r="R31" i="5" s="1"/>
  <c r="P28" i="5"/>
  <c r="P31" i="5" s="1"/>
  <c r="O28" i="5"/>
  <c r="O31" i="5" s="1"/>
  <c r="N28" i="5"/>
  <c r="N31" i="5" s="1"/>
  <c r="G28" i="5"/>
  <c r="G31" i="5" s="1"/>
  <c r="F28" i="5"/>
  <c r="F31" i="5" s="1"/>
  <c r="E28" i="5"/>
  <c r="E31" i="5" s="1"/>
  <c r="D28" i="5"/>
  <c r="D31" i="5" s="1"/>
  <c r="C28" i="5"/>
  <c r="C31" i="5" s="1"/>
  <c r="AC27" i="5"/>
  <c r="AC26" i="5"/>
  <c r="AC25" i="5"/>
  <c r="AC24" i="5"/>
  <c r="AC23" i="5"/>
  <c r="AO56" i="1"/>
  <c r="AN56" i="1"/>
  <c r="AO55" i="1"/>
  <c r="AN55" i="1"/>
  <c r="AO54" i="1"/>
  <c r="AN54" i="1"/>
  <c r="AO53" i="1"/>
  <c r="AN53" i="1"/>
  <c r="AO52" i="1"/>
  <c r="AN52" i="1"/>
  <c r="AO51" i="1"/>
  <c r="AN51" i="1"/>
  <c r="AO50" i="1"/>
  <c r="AN50" i="1"/>
  <c r="AO49" i="1"/>
  <c r="AN49" i="1"/>
  <c r="AO48" i="1"/>
  <c r="AN48" i="1"/>
  <c r="AO47" i="1"/>
  <c r="AN47" i="1"/>
  <c r="AO46" i="1"/>
  <c r="AN46" i="1"/>
  <c r="AO45" i="1"/>
  <c r="AN45" i="1"/>
  <c r="AO44" i="1"/>
  <c r="AN44" i="1"/>
  <c r="AO43" i="1"/>
  <c r="AN43" i="1"/>
  <c r="AO42" i="1"/>
  <c r="AN42" i="1"/>
  <c r="AO41" i="1"/>
  <c r="AN41" i="1"/>
  <c r="AO40" i="1"/>
  <c r="AN40" i="1"/>
  <c r="AO39" i="1"/>
  <c r="AN39" i="1"/>
  <c r="AO38" i="1"/>
  <c r="AN38" i="1"/>
  <c r="AO37" i="1"/>
  <c r="AN37" i="1"/>
  <c r="AO36" i="1"/>
  <c r="AN36" i="1"/>
  <c r="AO35" i="1"/>
  <c r="AN35" i="1"/>
  <c r="AO34" i="1"/>
  <c r="AN34" i="1"/>
  <c r="AO33" i="1"/>
  <c r="AN33" i="1"/>
  <c r="AO32" i="1"/>
  <c r="AN32" i="1"/>
  <c r="AO31" i="1"/>
  <c r="AN31" i="1"/>
  <c r="AO30" i="1"/>
  <c r="AN30" i="1"/>
  <c r="AO29" i="1"/>
  <c r="AN29" i="1"/>
  <c r="AO28" i="1"/>
  <c r="AN28" i="1"/>
  <c r="AO27" i="1"/>
  <c r="AN27" i="1"/>
  <c r="AO26" i="1"/>
  <c r="AN26" i="1"/>
  <c r="AO25" i="1"/>
  <c r="AN25" i="1"/>
  <c r="AO24" i="1"/>
  <c r="AN24" i="1"/>
  <c r="AO23" i="1"/>
  <c r="AN23" i="1"/>
  <c r="AO22" i="1"/>
  <c r="AN22" i="1"/>
  <c r="AO21" i="1"/>
  <c r="AN21" i="1"/>
  <c r="AO20" i="1"/>
  <c r="AN20" i="1"/>
  <c r="AO19" i="1"/>
  <c r="AN19" i="1"/>
  <c r="AO18" i="1"/>
  <c r="AN18" i="1"/>
  <c r="AO17" i="1"/>
  <c r="AN17" i="1"/>
  <c r="AP15" i="1"/>
  <c r="AO15" i="1"/>
  <c r="AN15" i="1"/>
  <c r="AO16" i="1"/>
  <c r="AN16" i="1"/>
  <c r="AP1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56" i="1"/>
  <c r="W32" i="5" l="1"/>
  <c r="Z32" i="5"/>
  <c r="AB32" i="5"/>
  <c r="X32" i="5"/>
  <c r="AA32" i="5"/>
  <c r="Y32" i="5"/>
  <c r="V32" i="5"/>
  <c r="H28" i="5"/>
  <c r="H31" i="5" s="1"/>
  <c r="L28" i="5"/>
  <c r="K28" i="5"/>
  <c r="AC31" i="5"/>
  <c r="N32" i="5"/>
  <c r="T32" i="5"/>
  <c r="R32" i="5"/>
  <c r="O32" i="5"/>
  <c r="S32" i="5"/>
  <c r="P32" i="5"/>
  <c r="AC28" i="5"/>
  <c r="H37" i="5"/>
  <c r="H35" i="5"/>
  <c r="H34" i="5"/>
  <c r="AA41" i="5"/>
  <c r="T41" i="5"/>
  <c r="AC40" i="5"/>
  <c r="AC39" i="5"/>
  <c r="AB38" i="5"/>
  <c r="AB41" i="5" s="1"/>
  <c r="Z38" i="5"/>
  <c r="Z41" i="5" s="1"/>
  <c r="X38" i="5"/>
  <c r="X41" i="5" s="1"/>
  <c r="W38" i="5"/>
  <c r="W41" i="5" s="1"/>
  <c r="V38" i="5"/>
  <c r="V41" i="5" s="1"/>
  <c r="S38" i="5"/>
  <c r="S41" i="5" s="1"/>
  <c r="R38" i="5"/>
  <c r="R41" i="5" s="1"/>
  <c r="P38" i="5"/>
  <c r="P41" i="5" s="1"/>
  <c r="O38" i="5"/>
  <c r="O41" i="5" s="1"/>
  <c r="N38" i="5"/>
  <c r="N41" i="5" s="1"/>
  <c r="G38" i="5"/>
  <c r="G41" i="5" s="1"/>
  <c r="F38" i="5"/>
  <c r="F41" i="5" s="1"/>
  <c r="E38" i="5"/>
  <c r="E41" i="5" s="1"/>
  <c r="D38" i="5"/>
  <c r="D41" i="5" s="1"/>
  <c r="C38" i="5"/>
  <c r="C41" i="5" s="1"/>
  <c r="AC37" i="5"/>
  <c r="AC36" i="5"/>
  <c r="AC35" i="5"/>
  <c r="AC34" i="5"/>
  <c r="AC33" i="5"/>
  <c r="V42" i="5" l="1"/>
  <c r="Y42" i="5"/>
  <c r="AA42" i="5"/>
  <c r="X42" i="5"/>
  <c r="Z42" i="5"/>
  <c r="W42" i="5"/>
  <c r="AB42" i="5"/>
  <c r="O42" i="5"/>
  <c r="T42" i="5"/>
  <c r="S42" i="5"/>
  <c r="N42" i="5"/>
  <c r="P42" i="5"/>
  <c r="R42" i="5"/>
  <c r="K38" i="5"/>
  <c r="AC38" i="5"/>
  <c r="H38" i="5"/>
  <c r="H41" i="5" s="1"/>
  <c r="AC41" i="5"/>
  <c r="L38" i="5"/>
  <c r="V19" i="3"/>
  <c r="V18" i="3"/>
  <c r="V17" i="3"/>
  <c r="V16" i="3"/>
  <c r="V15" i="3"/>
  <c r="V14" i="3"/>
  <c r="V13" i="3"/>
  <c r="V12" i="3"/>
  <c r="V11" i="3"/>
  <c r="V10" i="3"/>
  <c r="V9" i="3"/>
  <c r="V8" i="3"/>
  <c r="V7" i="3"/>
  <c r="M19" i="3"/>
  <c r="M18" i="3"/>
  <c r="M17" i="3"/>
  <c r="M16" i="3"/>
  <c r="M15" i="3"/>
  <c r="M14" i="3"/>
  <c r="M13" i="3"/>
  <c r="M12" i="3"/>
  <c r="M11" i="3"/>
  <c r="M10" i="3"/>
  <c r="M9" i="3"/>
  <c r="M8" i="3"/>
  <c r="M7" i="3"/>
  <c r="F19" i="3"/>
  <c r="F18" i="3"/>
  <c r="F17" i="3"/>
  <c r="F16" i="3"/>
  <c r="F15" i="3"/>
  <c r="F14" i="3"/>
  <c r="F13" i="3"/>
  <c r="F12" i="3"/>
  <c r="F11" i="3"/>
  <c r="F10" i="3"/>
  <c r="F9" i="3"/>
  <c r="F8" i="3"/>
  <c r="F7" i="3"/>
  <c r="I19" i="3"/>
  <c r="I18" i="3"/>
  <c r="I17" i="3"/>
  <c r="I16" i="3"/>
  <c r="I15" i="3"/>
  <c r="I14" i="3"/>
  <c r="I13" i="3"/>
  <c r="I12" i="3"/>
  <c r="I11" i="3"/>
  <c r="I10" i="3"/>
  <c r="I9" i="3"/>
  <c r="I8" i="3"/>
  <c r="I7" i="3"/>
  <c r="H49" i="5"/>
  <c r="H44" i="5"/>
  <c r="H50" i="5"/>
  <c r="H47" i="5"/>
  <c r="H45" i="5"/>
  <c r="H43" i="5"/>
  <c r="U4" i="3"/>
  <c r="R48" i="5"/>
  <c r="R51" i="5" s="1"/>
  <c r="AA51" i="5"/>
  <c r="T51" i="5"/>
  <c r="AC50" i="5"/>
  <c r="AC49" i="5"/>
  <c r="AB48" i="5"/>
  <c r="AB51" i="5" s="1"/>
  <c r="Z48" i="5"/>
  <c r="Z51" i="5" s="1"/>
  <c r="X48" i="5"/>
  <c r="X51" i="5" s="1"/>
  <c r="W48" i="5"/>
  <c r="V48" i="5"/>
  <c r="V51" i="5" s="1"/>
  <c r="S48" i="5"/>
  <c r="P48" i="5"/>
  <c r="P51" i="5" s="1"/>
  <c r="O48" i="5"/>
  <c r="O51" i="5" s="1"/>
  <c r="N48" i="5"/>
  <c r="N51" i="5" s="1"/>
  <c r="C48" i="5"/>
  <c r="C51" i="5" s="1"/>
  <c r="AC47" i="5"/>
  <c r="AC46" i="5"/>
  <c r="AC45" i="5"/>
  <c r="G48" i="5"/>
  <c r="G51" i="5" s="1"/>
  <c r="F48" i="5"/>
  <c r="F51" i="5" s="1"/>
  <c r="E48" i="5"/>
  <c r="D48" i="5"/>
  <c r="D51" i="5" s="1"/>
  <c r="AC44" i="5"/>
  <c r="AC43" i="5"/>
  <c r="H57" i="5"/>
  <c r="H55" i="5"/>
  <c r="G55" i="5"/>
  <c r="G58" i="5" s="1"/>
  <c r="G61" i="5" s="1"/>
  <c r="F55" i="5"/>
  <c r="F58" i="5" s="1"/>
  <c r="F61" i="5" s="1"/>
  <c r="E55" i="5"/>
  <c r="E58" i="5" s="1"/>
  <c r="D55" i="5"/>
  <c r="D58" i="5" s="1"/>
  <c r="D61" i="5" s="1"/>
  <c r="C55" i="5"/>
  <c r="C58" i="5" s="1"/>
  <c r="C61" i="5" s="1"/>
  <c r="H54" i="5"/>
  <c r="H56" i="5"/>
  <c r="AB58" i="5"/>
  <c r="AB61" i="5" s="1"/>
  <c r="Z58" i="5"/>
  <c r="Z61" i="5" s="1"/>
  <c r="AA61" i="5"/>
  <c r="T61" i="5"/>
  <c r="AC60" i="5"/>
  <c r="AC59" i="5"/>
  <c r="X58" i="5"/>
  <c r="X61" i="5" s="1"/>
  <c r="W58" i="5"/>
  <c r="W61" i="5" s="1"/>
  <c r="V58" i="5"/>
  <c r="S58" i="5"/>
  <c r="S61" i="5" s="1"/>
  <c r="P58" i="5"/>
  <c r="P61" i="5" s="1"/>
  <c r="O58" i="5"/>
  <c r="O61" i="5" s="1"/>
  <c r="N58" i="5"/>
  <c r="N61" i="5" s="1"/>
  <c r="AC57" i="5"/>
  <c r="AC56" i="5"/>
  <c r="AC55" i="5"/>
  <c r="AC54" i="5"/>
  <c r="AC53" i="5"/>
  <c r="W4" i="3" l="1"/>
  <c r="V4" i="3" s="1"/>
  <c r="K48" i="5"/>
  <c r="H48" i="5"/>
  <c r="H51" i="5" s="1"/>
  <c r="S51" i="5"/>
  <c r="N52" i="5" s="1"/>
  <c r="AC48" i="5"/>
  <c r="W51" i="5"/>
  <c r="E51" i="5"/>
  <c r="L48" i="5"/>
  <c r="H58" i="5"/>
  <c r="H61" i="5" s="1"/>
  <c r="N62" i="5"/>
  <c r="O62" i="5"/>
  <c r="P62" i="5"/>
  <c r="S62" i="5"/>
  <c r="T62" i="5"/>
  <c r="L58" i="5"/>
  <c r="AC58" i="5"/>
  <c r="E61" i="5"/>
  <c r="V61" i="5"/>
  <c r="AA62" i="5" s="1"/>
  <c r="K58" i="5"/>
  <c r="H65" i="5"/>
  <c r="H64" i="5"/>
  <c r="H67" i="5"/>
  <c r="AC70" i="5"/>
  <c r="AC69" i="5"/>
  <c r="AC67" i="5"/>
  <c r="AC66" i="5"/>
  <c r="AC65" i="5"/>
  <c r="AC64" i="5"/>
  <c r="AC63" i="5"/>
  <c r="X68" i="5"/>
  <c r="X71" i="5" s="1"/>
  <c r="W68" i="5"/>
  <c r="W71" i="5" s="1"/>
  <c r="V68" i="5"/>
  <c r="V71" i="5" s="1"/>
  <c r="AB71" i="5"/>
  <c r="AA71" i="5"/>
  <c r="T71" i="5"/>
  <c r="Z71" i="5"/>
  <c r="S68" i="5"/>
  <c r="S71" i="5" s="1"/>
  <c r="P68" i="5"/>
  <c r="P71" i="5" s="1"/>
  <c r="O68" i="5"/>
  <c r="O71" i="5" s="1"/>
  <c r="N68" i="5"/>
  <c r="N71" i="5" s="1"/>
  <c r="G68" i="5"/>
  <c r="G71" i="5" s="1"/>
  <c r="F68" i="5"/>
  <c r="F71" i="5" s="1"/>
  <c r="E68" i="5"/>
  <c r="E71" i="5" s="1"/>
  <c r="D68" i="5"/>
  <c r="D71" i="5" s="1"/>
  <c r="C68" i="5"/>
  <c r="C71" i="5" s="1"/>
  <c r="M4" i="3" l="1"/>
  <c r="F4" i="3"/>
  <c r="I4" i="3"/>
  <c r="X72" i="5"/>
  <c r="W62" i="5"/>
  <c r="AC51" i="5"/>
  <c r="W52" i="5"/>
  <c r="Z52" i="5"/>
  <c r="X62" i="5"/>
  <c r="X52" i="5"/>
  <c r="Z72" i="5"/>
  <c r="Z62" i="5"/>
  <c r="AB72" i="5"/>
  <c r="AB52" i="5"/>
  <c r="Y72" i="5"/>
  <c r="V72" i="5"/>
  <c r="Y52" i="5"/>
  <c r="AA52" i="5"/>
  <c r="AA72" i="5"/>
  <c r="AC61" i="5"/>
  <c r="V62" i="5"/>
  <c r="Y62" i="5"/>
  <c r="W72" i="5"/>
  <c r="V52" i="5"/>
  <c r="AB62" i="5"/>
  <c r="R52" i="5"/>
  <c r="P52" i="5"/>
  <c r="T52" i="5"/>
  <c r="S52" i="5"/>
  <c r="O52" i="5"/>
  <c r="N72" i="5"/>
  <c r="P72" i="5"/>
  <c r="T72" i="5"/>
  <c r="O72" i="5"/>
  <c r="S72" i="5"/>
  <c r="AC68" i="5"/>
  <c r="H68" i="5"/>
  <c r="H71" i="5" s="1"/>
  <c r="AC71" i="5"/>
  <c r="L68" i="5"/>
  <c r="K68" i="5"/>
  <c r="AT52" i="1"/>
  <c r="G78" i="5" l="1"/>
  <c r="G81" i="5" s="1"/>
  <c r="F78" i="5"/>
  <c r="F81" i="5" s="1"/>
  <c r="E78" i="5"/>
  <c r="E81" i="5" s="1"/>
  <c r="D78" i="5"/>
  <c r="D81" i="5" s="1"/>
  <c r="C78" i="5"/>
  <c r="C81" i="5" s="1"/>
  <c r="H77" i="5"/>
  <c r="H75" i="5"/>
  <c r="H74" i="5"/>
  <c r="H73" i="5"/>
  <c r="H78" i="5" l="1"/>
  <c r="H81" i="5" s="1"/>
  <c r="AT39" i="1"/>
  <c r="AT40" i="1"/>
  <c r="AT42" i="1"/>
  <c r="AT44" i="1"/>
  <c r="AT45" i="1"/>
  <c r="AT46" i="1"/>
  <c r="AT47" i="1"/>
  <c r="AT49" i="1"/>
  <c r="AT50" i="1"/>
  <c r="AT51" i="1"/>
  <c r="W5" i="3"/>
  <c r="AA81" i="5"/>
  <c r="T81" i="5"/>
  <c r="AC80" i="5"/>
  <c r="AC79" i="5"/>
  <c r="AB78" i="5"/>
  <c r="AB81" i="5" s="1"/>
  <c r="Z78" i="5"/>
  <c r="Z81" i="5" s="1"/>
  <c r="X78" i="5"/>
  <c r="X81" i="5" s="1"/>
  <c r="W78" i="5"/>
  <c r="W81" i="5" s="1"/>
  <c r="V78" i="5"/>
  <c r="V81" i="5" s="1"/>
  <c r="S78" i="5"/>
  <c r="S81" i="5" s="1"/>
  <c r="P78" i="5"/>
  <c r="P81" i="5" s="1"/>
  <c r="O78" i="5"/>
  <c r="O81" i="5" s="1"/>
  <c r="N78" i="5"/>
  <c r="N81" i="5" s="1"/>
  <c r="L78" i="5"/>
  <c r="AC77" i="5"/>
  <c r="AC76" i="5"/>
  <c r="AC75" i="5"/>
  <c r="AC74" i="5"/>
  <c r="AC73" i="5"/>
  <c r="H89" i="5"/>
  <c r="H90" i="5"/>
  <c r="H84" i="5"/>
  <c r="H85" i="5"/>
  <c r="H86" i="5"/>
  <c r="AC83" i="5"/>
  <c r="AC84" i="5"/>
  <c r="AC85" i="5"/>
  <c r="AC86" i="5"/>
  <c r="AC87" i="5"/>
  <c r="AA91" i="5"/>
  <c r="T91" i="5"/>
  <c r="AC90" i="5"/>
  <c r="AC89" i="5"/>
  <c r="AB88" i="5"/>
  <c r="AB91" i="5" s="1"/>
  <c r="Z88" i="5"/>
  <c r="Z91" i="5" s="1"/>
  <c r="X88" i="5"/>
  <c r="X91" i="5" s="1"/>
  <c r="W88" i="5"/>
  <c r="W91" i="5" s="1"/>
  <c r="V88" i="5"/>
  <c r="V91" i="5" s="1"/>
  <c r="S88" i="5"/>
  <c r="S91" i="5" s="1"/>
  <c r="P88" i="5"/>
  <c r="P91" i="5" s="1"/>
  <c r="O88" i="5"/>
  <c r="O91" i="5" s="1"/>
  <c r="N88" i="5"/>
  <c r="N91" i="5" s="1"/>
  <c r="G88" i="5"/>
  <c r="G91" i="5" s="1"/>
  <c r="F88" i="5"/>
  <c r="F91" i="5" s="1"/>
  <c r="E88" i="5"/>
  <c r="D88" i="5"/>
  <c r="D91" i="5" s="1"/>
  <c r="C88" i="5"/>
  <c r="C91" i="5" s="1"/>
  <c r="H97" i="5"/>
  <c r="G98" i="5"/>
  <c r="G101" i="5" s="1"/>
  <c r="F98" i="5"/>
  <c r="F101" i="5" s="1"/>
  <c r="E98" i="5"/>
  <c r="E101" i="5" s="1"/>
  <c r="D98" i="5"/>
  <c r="D101" i="5" s="1"/>
  <c r="C98" i="5"/>
  <c r="C101" i="5" s="1"/>
  <c r="H95" i="5"/>
  <c r="H94" i="5"/>
  <c r="AB98" i="5"/>
  <c r="AB101" i="5" s="1"/>
  <c r="Z98" i="5"/>
  <c r="Z101" i="5" s="1"/>
  <c r="X98" i="5"/>
  <c r="X101" i="5" s="1"/>
  <c r="W98" i="5"/>
  <c r="W101" i="5" s="1"/>
  <c r="V98" i="5"/>
  <c r="V101" i="5" s="1"/>
  <c r="AA101" i="5"/>
  <c r="AC100" i="5"/>
  <c r="AC99" i="5"/>
  <c r="AC97" i="5"/>
  <c r="AC96" i="5"/>
  <c r="AC95" i="5"/>
  <c r="AC94" i="5"/>
  <c r="AC93" i="5"/>
  <c r="T101" i="5"/>
  <c r="S98" i="5"/>
  <c r="S101" i="5" s="1"/>
  <c r="P98" i="5"/>
  <c r="P101" i="5" s="1"/>
  <c r="O98" i="5"/>
  <c r="O101" i="5" s="1"/>
  <c r="N98" i="5"/>
  <c r="N101" i="5" s="1"/>
  <c r="AC110" i="5"/>
  <c r="AC109" i="5"/>
  <c r="AC107" i="5"/>
  <c r="AC106" i="5"/>
  <c r="AC105" i="5"/>
  <c r="AC104" i="5"/>
  <c r="AC103" i="5"/>
  <c r="H107" i="5"/>
  <c r="H105" i="5"/>
  <c r="H104" i="5"/>
  <c r="G108" i="5"/>
  <c r="G111" i="5" s="1"/>
  <c r="F108" i="5"/>
  <c r="F111" i="5" s="1"/>
  <c r="E108" i="5"/>
  <c r="E111" i="5" s="1"/>
  <c r="D108" i="5"/>
  <c r="D111" i="5" s="1"/>
  <c r="C108" i="5"/>
  <c r="C111" i="5" s="1"/>
  <c r="G118" i="5"/>
  <c r="G121" i="5" s="1"/>
  <c r="F118" i="5"/>
  <c r="F121" i="5" s="1"/>
  <c r="E118" i="5"/>
  <c r="E121" i="5" s="1"/>
  <c r="D118" i="5"/>
  <c r="D121" i="5" s="1"/>
  <c r="C118" i="5"/>
  <c r="C121" i="5" s="1"/>
  <c r="H117" i="5"/>
  <c r="H115" i="5"/>
  <c r="H114" i="5"/>
  <c r="H113" i="5"/>
  <c r="T111" i="5"/>
  <c r="AB108" i="5"/>
  <c r="AB111" i="5" s="1"/>
  <c r="AA111" i="5"/>
  <c r="Z108" i="5"/>
  <c r="Z111" i="5" s="1"/>
  <c r="X108" i="5"/>
  <c r="W108" i="5"/>
  <c r="W111" i="5" s="1"/>
  <c r="V108" i="5"/>
  <c r="V111" i="5" s="1"/>
  <c r="S108" i="5"/>
  <c r="S111" i="5" s="1"/>
  <c r="P108" i="5"/>
  <c r="P111" i="5" s="1"/>
  <c r="O108" i="5"/>
  <c r="O111" i="5" s="1"/>
  <c r="N108" i="5"/>
  <c r="N111" i="5" s="1"/>
  <c r="AB118" i="5"/>
  <c r="AB121" i="5" s="1"/>
  <c r="Z118" i="5"/>
  <c r="Z121" i="5" s="1"/>
  <c r="X118" i="5"/>
  <c r="X121" i="5" s="1"/>
  <c r="W118" i="5"/>
  <c r="W121" i="5" s="1"/>
  <c r="V118" i="5"/>
  <c r="V121" i="5" s="1"/>
  <c r="AA121" i="5"/>
  <c r="AC120" i="5"/>
  <c r="AC119" i="5"/>
  <c r="AC117" i="5"/>
  <c r="AC116" i="5"/>
  <c r="AC115" i="5"/>
  <c r="AC114" i="5"/>
  <c r="AC113" i="5"/>
  <c r="W6" i="3"/>
  <c r="T121" i="5"/>
  <c r="S118" i="5"/>
  <c r="S121" i="5" s="1"/>
  <c r="P118" i="5"/>
  <c r="P121" i="5" s="1"/>
  <c r="O118" i="5"/>
  <c r="O121" i="5" s="1"/>
  <c r="N118" i="5"/>
  <c r="N121" i="5" s="1"/>
  <c r="H130" i="5"/>
  <c r="H125" i="5"/>
  <c r="H126" i="5"/>
  <c r="T131" i="5"/>
  <c r="I131" i="5"/>
  <c r="AC130" i="5"/>
  <c r="AC129" i="5"/>
  <c r="AB128" i="5"/>
  <c r="AB131" i="5" s="1"/>
  <c r="AA131" i="5"/>
  <c r="Z128" i="5"/>
  <c r="Z131" i="5" s="1"/>
  <c r="X128" i="5"/>
  <c r="X131" i="5" s="1"/>
  <c r="W128" i="5"/>
  <c r="V128" i="5"/>
  <c r="V131" i="5" s="1"/>
  <c r="S128" i="5"/>
  <c r="S131" i="5" s="1"/>
  <c r="P128" i="5"/>
  <c r="P131" i="5" s="1"/>
  <c r="O128" i="5"/>
  <c r="O131" i="5" s="1"/>
  <c r="N128" i="5"/>
  <c r="N131" i="5" s="1"/>
  <c r="F128" i="5"/>
  <c r="F131" i="5" s="1"/>
  <c r="E128" i="5"/>
  <c r="E131" i="5" s="1"/>
  <c r="D128" i="5"/>
  <c r="D131" i="5" s="1"/>
  <c r="C128" i="5"/>
  <c r="C131" i="5" s="1"/>
  <c r="AC127" i="5"/>
  <c r="AC126" i="5"/>
  <c r="AC125" i="5"/>
  <c r="AC124" i="5"/>
  <c r="AC123" i="5"/>
  <c r="AC133" i="5"/>
  <c r="H134" i="5"/>
  <c r="AC134" i="5"/>
  <c r="H135" i="5"/>
  <c r="AC135" i="5"/>
  <c r="AC136" i="5"/>
  <c r="H137" i="5"/>
  <c r="AC137" i="5"/>
  <c r="C138" i="5"/>
  <c r="C141" i="5" s="1"/>
  <c r="D138" i="5"/>
  <c r="D141" i="5" s="1"/>
  <c r="E138" i="5"/>
  <c r="E141" i="5" s="1"/>
  <c r="F138" i="5"/>
  <c r="F141" i="5" s="1"/>
  <c r="N138" i="5"/>
  <c r="N141" i="5" s="1"/>
  <c r="O138" i="5"/>
  <c r="O141" i="5" s="1"/>
  <c r="P138" i="5"/>
  <c r="P141" i="5" s="1"/>
  <c r="S138" i="5"/>
  <c r="S141" i="5" s="1"/>
  <c r="V138" i="5"/>
  <c r="V141" i="5" s="1"/>
  <c r="W138" i="5"/>
  <c r="W141" i="5" s="1"/>
  <c r="X138" i="5"/>
  <c r="X141" i="5" s="1"/>
  <c r="X142" i="5" s="1"/>
  <c r="Z138" i="5"/>
  <c r="Z141" i="5" s="1"/>
  <c r="AA141" i="5"/>
  <c r="AB138" i="5"/>
  <c r="AB141" i="5" s="1"/>
  <c r="H139" i="5"/>
  <c r="AC139" i="5"/>
  <c r="H140" i="5"/>
  <c r="AC140" i="5"/>
  <c r="I141" i="5"/>
  <c r="T141" i="5"/>
  <c r="AC143" i="5"/>
  <c r="H144" i="5"/>
  <c r="AC144" i="5"/>
  <c r="H145" i="5"/>
  <c r="AC145" i="5"/>
  <c r="AC146" i="5"/>
  <c r="H147" i="5"/>
  <c r="AC147" i="5"/>
  <c r="C148" i="5"/>
  <c r="C151" i="5" s="1"/>
  <c r="D148" i="5"/>
  <c r="D151" i="5" s="1"/>
  <c r="E148" i="5"/>
  <c r="F148" i="5"/>
  <c r="F151" i="5" s="1"/>
  <c r="N148" i="5"/>
  <c r="N151" i="5" s="1"/>
  <c r="O148" i="5"/>
  <c r="O151" i="5" s="1"/>
  <c r="P148" i="5"/>
  <c r="P151" i="5" s="1"/>
  <c r="S148" i="5"/>
  <c r="S151" i="5" s="1"/>
  <c r="V148" i="5"/>
  <c r="V151" i="5" s="1"/>
  <c r="W148" i="5"/>
  <c r="W151" i="5" s="1"/>
  <c r="X148" i="5"/>
  <c r="X151" i="5" s="1"/>
  <c r="Z148" i="5"/>
  <c r="Z151" i="5" s="1"/>
  <c r="AB148" i="5"/>
  <c r="AB151" i="5" s="1"/>
  <c r="AC149" i="5"/>
  <c r="AC150" i="5"/>
  <c r="I151" i="5"/>
  <c r="T151" i="5"/>
  <c r="AA151" i="5"/>
  <c r="H153" i="5"/>
  <c r="AC153" i="5"/>
  <c r="H154" i="5"/>
  <c r="AC154" i="5"/>
  <c r="H155" i="5"/>
  <c r="AC155" i="5"/>
  <c r="AC156" i="5"/>
  <c r="H157" i="5"/>
  <c r="AC157" i="5"/>
  <c r="C158" i="5"/>
  <c r="C161" i="5" s="1"/>
  <c r="D158" i="5"/>
  <c r="E158" i="5"/>
  <c r="E161" i="5" s="1"/>
  <c r="F158" i="5"/>
  <c r="F161" i="5" s="1"/>
  <c r="N158" i="5"/>
  <c r="N161" i="5" s="1"/>
  <c r="O158" i="5"/>
  <c r="O161" i="5" s="1"/>
  <c r="P158" i="5"/>
  <c r="P161" i="5" s="1"/>
  <c r="S158" i="5"/>
  <c r="S161" i="5" s="1"/>
  <c r="V158" i="5"/>
  <c r="V161" i="5" s="1"/>
  <c r="W158" i="5"/>
  <c r="W161" i="5" s="1"/>
  <c r="X158" i="5"/>
  <c r="X161" i="5" s="1"/>
  <c r="Z158" i="5"/>
  <c r="Z161" i="5" s="1"/>
  <c r="Z162" i="5" s="1"/>
  <c r="AB158" i="5"/>
  <c r="AB161" i="5" s="1"/>
  <c r="AC159" i="5"/>
  <c r="AC160" i="5"/>
  <c r="I161" i="5"/>
  <c r="T161" i="5"/>
  <c r="AA161" i="5"/>
  <c r="AC163" i="5"/>
  <c r="AC164" i="5"/>
  <c r="H165" i="5"/>
  <c r="AC165" i="5"/>
  <c r="H166" i="5"/>
  <c r="AC166" i="5"/>
  <c r="AC167" i="5"/>
  <c r="C168" i="5"/>
  <c r="C171" i="5" s="1"/>
  <c r="D168" i="5"/>
  <c r="D171" i="5" s="1"/>
  <c r="E168" i="5"/>
  <c r="F168" i="5"/>
  <c r="F171" i="5" s="1"/>
  <c r="N168" i="5"/>
  <c r="N171" i="5" s="1"/>
  <c r="O168" i="5"/>
  <c r="O171" i="5" s="1"/>
  <c r="P168" i="5"/>
  <c r="P171" i="5" s="1"/>
  <c r="S168" i="5"/>
  <c r="S171" i="5" s="1"/>
  <c r="V168" i="5"/>
  <c r="V171" i="5" s="1"/>
  <c r="W168" i="5"/>
  <c r="W171" i="5" s="1"/>
  <c r="X168" i="5"/>
  <c r="Z168" i="5"/>
  <c r="Z171" i="5" s="1"/>
  <c r="AB168" i="5"/>
  <c r="AB171" i="5" s="1"/>
  <c r="AC169" i="5"/>
  <c r="AC170" i="5"/>
  <c r="I171" i="5"/>
  <c r="T171" i="5"/>
  <c r="AA171" i="5"/>
  <c r="AC173" i="5"/>
  <c r="H174" i="5"/>
  <c r="AC174" i="5"/>
  <c r="H175" i="5"/>
  <c r="AC175" i="5"/>
  <c r="AC176" i="5"/>
  <c r="H177" i="5"/>
  <c r="AC177" i="5"/>
  <c r="C178" i="5"/>
  <c r="C181" i="5" s="1"/>
  <c r="D178" i="5"/>
  <c r="D181" i="5" s="1"/>
  <c r="E178" i="5"/>
  <c r="F178" i="5"/>
  <c r="F181" i="5" s="1"/>
  <c r="N178" i="5"/>
  <c r="N181" i="5" s="1"/>
  <c r="O178" i="5"/>
  <c r="O181" i="5" s="1"/>
  <c r="P178" i="5"/>
  <c r="P181" i="5" s="1"/>
  <c r="S178" i="5"/>
  <c r="S181" i="5" s="1"/>
  <c r="V178" i="5"/>
  <c r="V181" i="5" s="1"/>
  <c r="W178" i="5"/>
  <c r="W181" i="5" s="1"/>
  <c r="X178" i="5"/>
  <c r="X181" i="5" s="1"/>
  <c r="Z178" i="5"/>
  <c r="Z181" i="5" s="1"/>
  <c r="AB178" i="5"/>
  <c r="AB181" i="5" s="1"/>
  <c r="AC179" i="5"/>
  <c r="H180" i="5"/>
  <c r="AC180" i="5"/>
  <c r="I181" i="5"/>
  <c r="T181" i="5"/>
  <c r="AC183" i="5"/>
  <c r="H184" i="5"/>
  <c r="AC184" i="5"/>
  <c r="C185" i="5"/>
  <c r="D185" i="5"/>
  <c r="E185" i="5"/>
  <c r="F185" i="5"/>
  <c r="H185" i="5"/>
  <c r="AC185" i="5"/>
  <c r="AC186" i="5"/>
  <c r="C187" i="5"/>
  <c r="D187" i="5"/>
  <c r="E187" i="5"/>
  <c r="F187" i="5"/>
  <c r="H187" i="5"/>
  <c r="AC187" i="5"/>
  <c r="N188" i="5"/>
  <c r="N191" i="5" s="1"/>
  <c r="O188" i="5"/>
  <c r="O191" i="5" s="1"/>
  <c r="P188" i="5"/>
  <c r="P191" i="5" s="1"/>
  <c r="S188" i="5"/>
  <c r="S191" i="5" s="1"/>
  <c r="V188" i="5"/>
  <c r="V191" i="5" s="1"/>
  <c r="W188" i="5"/>
  <c r="X188" i="5"/>
  <c r="X191" i="5" s="1"/>
  <c r="Z188" i="5"/>
  <c r="Z191" i="5" s="1"/>
  <c r="AB188" i="5"/>
  <c r="AB191" i="5" s="1"/>
  <c r="H189" i="5"/>
  <c r="AC189" i="5"/>
  <c r="AC190" i="5"/>
  <c r="I191" i="5"/>
  <c r="T191" i="5"/>
  <c r="AA191" i="5"/>
  <c r="H193" i="5"/>
  <c r="AC193" i="5"/>
  <c r="H194" i="5"/>
  <c r="AC194" i="5"/>
  <c r="H195" i="5"/>
  <c r="AC195" i="5"/>
  <c r="AC196" i="5"/>
  <c r="H197" i="5"/>
  <c r="AC197" i="5"/>
  <c r="C198" i="5"/>
  <c r="C201" i="5" s="1"/>
  <c r="D198" i="5"/>
  <c r="D201" i="5" s="1"/>
  <c r="E198" i="5"/>
  <c r="F198" i="5"/>
  <c r="F201" i="5" s="1"/>
  <c r="N198" i="5"/>
  <c r="N201" i="5" s="1"/>
  <c r="O198" i="5"/>
  <c r="O201" i="5" s="1"/>
  <c r="P198" i="5"/>
  <c r="P201" i="5" s="1"/>
  <c r="S198" i="5"/>
  <c r="S201" i="5" s="1"/>
  <c r="V198" i="5"/>
  <c r="V201" i="5" s="1"/>
  <c r="W198" i="5"/>
  <c r="W201" i="5" s="1"/>
  <c r="X198" i="5"/>
  <c r="X201" i="5" s="1"/>
  <c r="Z198" i="5"/>
  <c r="Z201" i="5" s="1"/>
  <c r="AB198" i="5"/>
  <c r="AB201" i="5" s="1"/>
  <c r="AC199" i="5"/>
  <c r="AC200" i="5"/>
  <c r="I201" i="5"/>
  <c r="T201" i="5"/>
  <c r="AA201" i="5"/>
  <c r="AC203" i="5"/>
  <c r="AC204" i="5"/>
  <c r="H205" i="5"/>
  <c r="AC205" i="5"/>
  <c r="H206" i="5"/>
  <c r="AC206" i="5"/>
  <c r="AC207" i="5"/>
  <c r="C208" i="5"/>
  <c r="C211" i="5" s="1"/>
  <c r="D208" i="5"/>
  <c r="D211" i="5" s="1"/>
  <c r="E208" i="5"/>
  <c r="F208" i="5"/>
  <c r="F211" i="5" s="1"/>
  <c r="N208" i="5"/>
  <c r="N211" i="5" s="1"/>
  <c r="O208" i="5"/>
  <c r="O211" i="5" s="1"/>
  <c r="P208" i="5"/>
  <c r="P211" i="5" s="1"/>
  <c r="S208" i="5"/>
  <c r="S211" i="5" s="1"/>
  <c r="V208" i="5"/>
  <c r="V211" i="5" s="1"/>
  <c r="W208" i="5"/>
  <c r="W211" i="5" s="1"/>
  <c r="X208" i="5"/>
  <c r="X211" i="5" s="1"/>
  <c r="Z208" i="5"/>
  <c r="AB208" i="5"/>
  <c r="AB211" i="5" s="1"/>
  <c r="AC209" i="5"/>
  <c r="AC210" i="5"/>
  <c r="I211" i="5"/>
  <c r="T211" i="5"/>
  <c r="AA211" i="5"/>
  <c r="H214" i="5"/>
  <c r="AC214" i="5"/>
  <c r="H215" i="5"/>
  <c r="H217" i="5"/>
  <c r="AC217" i="5"/>
  <c r="C218" i="5"/>
  <c r="C221" i="5" s="1"/>
  <c r="D218" i="5"/>
  <c r="D221" i="5" s="1"/>
  <c r="E218" i="5"/>
  <c r="F218" i="5"/>
  <c r="F221" i="5" s="1"/>
  <c r="N218" i="5"/>
  <c r="O218" i="5"/>
  <c r="P218" i="5"/>
  <c r="S218" i="5"/>
  <c r="V218" i="5"/>
  <c r="W218" i="5"/>
  <c r="X218" i="5"/>
  <c r="Z218" i="5"/>
  <c r="AB218" i="5"/>
  <c r="H220" i="5"/>
  <c r="I221" i="5"/>
  <c r="N222" i="5"/>
  <c r="O222" i="5"/>
  <c r="P222" i="5"/>
  <c r="S222" i="5"/>
  <c r="T222" i="5"/>
  <c r="H224" i="5"/>
  <c r="AC224" i="5"/>
  <c r="H225" i="5"/>
  <c r="H227" i="5"/>
  <c r="AC227" i="5"/>
  <c r="C228" i="5"/>
  <c r="C231" i="5" s="1"/>
  <c r="D228" i="5"/>
  <c r="D231" i="5" s="1"/>
  <c r="E228" i="5"/>
  <c r="F228" i="5"/>
  <c r="F231" i="5" s="1"/>
  <c r="N228" i="5"/>
  <c r="O228" i="5"/>
  <c r="P228" i="5"/>
  <c r="S228" i="5"/>
  <c r="V228" i="5"/>
  <c r="W228" i="5"/>
  <c r="X228" i="5"/>
  <c r="Z228" i="5"/>
  <c r="AB228" i="5"/>
  <c r="H229" i="5"/>
  <c r="I231" i="5"/>
  <c r="N232" i="5"/>
  <c r="O232" i="5"/>
  <c r="P232" i="5"/>
  <c r="S232" i="5"/>
  <c r="T232" i="5"/>
  <c r="H233" i="5"/>
  <c r="H234" i="5"/>
  <c r="AC234" i="5"/>
  <c r="H235" i="5"/>
  <c r="H237" i="5"/>
  <c r="AC237" i="5"/>
  <c r="C238" i="5"/>
  <c r="C241" i="5" s="1"/>
  <c r="D238" i="5"/>
  <c r="D241" i="5" s="1"/>
  <c r="E238" i="5"/>
  <c r="F238" i="5"/>
  <c r="F241" i="5" s="1"/>
  <c r="N238" i="5"/>
  <c r="O238" i="5"/>
  <c r="P238" i="5"/>
  <c r="S238" i="5"/>
  <c r="V238" i="5"/>
  <c r="W238" i="5"/>
  <c r="X238" i="5"/>
  <c r="Z238" i="5"/>
  <c r="AB238" i="5"/>
  <c r="I241" i="5"/>
  <c r="N242" i="5"/>
  <c r="O242" i="5"/>
  <c r="P242" i="5"/>
  <c r="S242" i="5"/>
  <c r="T242" i="5"/>
  <c r="H245" i="5"/>
  <c r="H246" i="5"/>
  <c r="C248" i="5"/>
  <c r="C251" i="5" s="1"/>
  <c r="D248" i="5"/>
  <c r="D251" i="5" s="1"/>
  <c r="E248" i="5"/>
  <c r="F248" i="5"/>
  <c r="F251" i="5" s="1"/>
  <c r="N248" i="5"/>
  <c r="O248" i="5"/>
  <c r="P248" i="5"/>
  <c r="S248" i="5"/>
  <c r="V248" i="5"/>
  <c r="V251" i="5" s="1"/>
  <c r="W248" i="5"/>
  <c r="W251" i="5" s="1"/>
  <c r="X248" i="5"/>
  <c r="X251" i="5" s="1"/>
  <c r="Z248" i="5"/>
  <c r="Z251" i="5" s="1"/>
  <c r="AB248" i="5"/>
  <c r="AB251" i="5" s="1"/>
  <c r="I251" i="5"/>
  <c r="N252" i="5"/>
  <c r="O252" i="5"/>
  <c r="P252" i="5"/>
  <c r="S252" i="5"/>
  <c r="T252" i="5"/>
  <c r="H254" i="5"/>
  <c r="AC254" i="5"/>
  <c r="H255" i="5"/>
  <c r="H257" i="5"/>
  <c r="AC257" i="5"/>
  <c r="C258" i="5"/>
  <c r="C261" i="5" s="1"/>
  <c r="D258" i="5"/>
  <c r="D261" i="5" s="1"/>
  <c r="E258" i="5"/>
  <c r="F258" i="5"/>
  <c r="F261" i="5" s="1"/>
  <c r="N258" i="5"/>
  <c r="O258" i="5"/>
  <c r="P258" i="5"/>
  <c r="S258" i="5"/>
  <c r="V258" i="5"/>
  <c r="W258" i="5"/>
  <c r="X258" i="5"/>
  <c r="Z258" i="5"/>
  <c r="AB258" i="5"/>
  <c r="I261" i="5"/>
  <c r="N262" i="5"/>
  <c r="O262" i="5"/>
  <c r="P262" i="5"/>
  <c r="S262" i="5"/>
  <c r="T262" i="5"/>
  <c r="H264" i="5"/>
  <c r="AC264" i="5"/>
  <c r="H265" i="5"/>
  <c r="H267" i="5"/>
  <c r="AC267" i="5"/>
  <c r="C268" i="5"/>
  <c r="C271" i="5" s="1"/>
  <c r="D268" i="5"/>
  <c r="D271" i="5" s="1"/>
  <c r="E268" i="5"/>
  <c r="F268" i="5"/>
  <c r="F271" i="5" s="1"/>
  <c r="N268" i="5"/>
  <c r="O268" i="5"/>
  <c r="P268" i="5"/>
  <c r="S268" i="5"/>
  <c r="V268" i="5"/>
  <c r="W268" i="5"/>
  <c r="X268" i="5"/>
  <c r="Z268" i="5"/>
  <c r="AB268" i="5"/>
  <c r="H269" i="5"/>
  <c r="H270" i="5"/>
  <c r="I271" i="5"/>
  <c r="N272" i="5"/>
  <c r="O272" i="5"/>
  <c r="P272" i="5"/>
  <c r="S272" i="5"/>
  <c r="T272" i="5"/>
  <c r="H273" i="5"/>
  <c r="H274" i="5"/>
  <c r="AC274" i="5"/>
  <c r="H275" i="5"/>
  <c r="H277" i="5"/>
  <c r="AC277" i="5"/>
  <c r="C278" i="5"/>
  <c r="C281" i="5" s="1"/>
  <c r="D278" i="5"/>
  <c r="D281" i="5" s="1"/>
  <c r="E278" i="5"/>
  <c r="F278" i="5"/>
  <c r="F281" i="5" s="1"/>
  <c r="N278" i="5"/>
  <c r="O278" i="5"/>
  <c r="P278" i="5"/>
  <c r="S278" i="5"/>
  <c r="V278" i="5"/>
  <c r="W278" i="5"/>
  <c r="X278" i="5"/>
  <c r="Z278" i="5"/>
  <c r="AB278" i="5"/>
  <c r="I281" i="5"/>
  <c r="N282" i="5"/>
  <c r="O282" i="5"/>
  <c r="P282" i="5"/>
  <c r="S282" i="5"/>
  <c r="T282" i="5"/>
  <c r="H285" i="5"/>
  <c r="H286" i="5"/>
  <c r="C288" i="5"/>
  <c r="C291" i="5" s="1"/>
  <c r="D288" i="5"/>
  <c r="D291" i="5" s="1"/>
  <c r="E288" i="5"/>
  <c r="F288" i="5"/>
  <c r="F291" i="5" s="1"/>
  <c r="N288" i="5"/>
  <c r="O288" i="5"/>
  <c r="P288" i="5"/>
  <c r="S288" i="5"/>
  <c r="V288" i="5"/>
  <c r="V291" i="5" s="1"/>
  <c r="W288" i="5"/>
  <c r="W291" i="5" s="1"/>
  <c r="X288" i="5"/>
  <c r="X291" i="5" s="1"/>
  <c r="Z288" i="5"/>
  <c r="Z291" i="5" s="1"/>
  <c r="AB288" i="5"/>
  <c r="AB291" i="5" s="1"/>
  <c r="I291" i="5"/>
  <c r="N292" i="5"/>
  <c r="O292" i="5"/>
  <c r="P292" i="5"/>
  <c r="S292" i="5"/>
  <c r="T292" i="5"/>
  <c r="H294" i="5"/>
  <c r="AC294" i="5"/>
  <c r="H295" i="5"/>
  <c r="H297" i="5"/>
  <c r="AC297" i="5"/>
  <c r="C298" i="5"/>
  <c r="C301" i="5" s="1"/>
  <c r="D298" i="5"/>
  <c r="D301" i="5" s="1"/>
  <c r="E298" i="5"/>
  <c r="F298" i="5"/>
  <c r="F301" i="5" s="1"/>
  <c r="N298" i="5"/>
  <c r="O298" i="5"/>
  <c r="P298" i="5"/>
  <c r="S298" i="5"/>
  <c r="V298" i="5"/>
  <c r="V301" i="5" s="1"/>
  <c r="W298" i="5"/>
  <c r="W301" i="5" s="1"/>
  <c r="X298" i="5"/>
  <c r="X301" i="5" s="1"/>
  <c r="Z298" i="5"/>
  <c r="Z301" i="5" s="1"/>
  <c r="AB298" i="5"/>
  <c r="AB301" i="5" s="1"/>
  <c r="I301" i="5"/>
  <c r="N302" i="5"/>
  <c r="O302" i="5"/>
  <c r="P302" i="5"/>
  <c r="S302" i="5"/>
  <c r="T302" i="5"/>
  <c r="H304" i="5"/>
  <c r="H308" i="5" s="1"/>
  <c r="AC307" i="5"/>
  <c r="C308" i="5"/>
  <c r="D308" i="5"/>
  <c r="E308" i="5"/>
  <c r="F308" i="5"/>
  <c r="N308" i="5"/>
  <c r="O308" i="5"/>
  <c r="P308" i="5"/>
  <c r="S308" i="5"/>
  <c r="V308" i="5"/>
  <c r="V311" i="5" s="1"/>
  <c r="W308" i="5"/>
  <c r="W311" i="5" s="1"/>
  <c r="X308" i="5"/>
  <c r="X311" i="5" s="1"/>
  <c r="Z308" i="5"/>
  <c r="Z311" i="5" s="1"/>
  <c r="AB308" i="5"/>
  <c r="AB311" i="5" s="1"/>
  <c r="H309" i="5"/>
  <c r="N312" i="5"/>
  <c r="O312" i="5"/>
  <c r="P312" i="5"/>
  <c r="S312" i="5"/>
  <c r="T312" i="5"/>
  <c r="AC317" i="5"/>
  <c r="C318" i="5"/>
  <c r="C321" i="5" s="1"/>
  <c r="D318" i="5"/>
  <c r="D321" i="5" s="1"/>
  <c r="E318" i="5"/>
  <c r="E321" i="5" s="1"/>
  <c r="F318" i="5"/>
  <c r="F321" i="5" s="1"/>
  <c r="H318" i="5"/>
  <c r="H321" i="5" s="1"/>
  <c r="N318" i="5"/>
  <c r="O318" i="5"/>
  <c r="P318" i="5"/>
  <c r="S318" i="5"/>
  <c r="V318" i="5"/>
  <c r="V321" i="5" s="1"/>
  <c r="W318" i="5"/>
  <c r="W321" i="5" s="1"/>
  <c r="X318" i="5"/>
  <c r="X321" i="5" s="1"/>
  <c r="Z318" i="5"/>
  <c r="Z321" i="5" s="1"/>
  <c r="AB318" i="5"/>
  <c r="AB321" i="5" s="1"/>
  <c r="I321" i="5"/>
  <c r="N322" i="5"/>
  <c r="O322" i="5"/>
  <c r="P322" i="5"/>
  <c r="S322" i="5"/>
  <c r="T322" i="5"/>
  <c r="N325" i="5"/>
  <c r="O325" i="5"/>
  <c r="P325" i="5"/>
  <c r="S325" i="5"/>
  <c r="T325" i="5"/>
  <c r="AC327" i="5"/>
  <c r="N329" i="5"/>
  <c r="O329" i="5"/>
  <c r="P329" i="5"/>
  <c r="S329" i="5"/>
  <c r="T329" i="5"/>
  <c r="AC331" i="5"/>
  <c r="N334" i="5"/>
  <c r="O334" i="5"/>
  <c r="P334" i="5"/>
  <c r="S334" i="5"/>
  <c r="T334" i="5"/>
  <c r="AC336" i="5"/>
  <c r="N338" i="5"/>
  <c r="O338" i="5"/>
  <c r="P338" i="5"/>
  <c r="S338" i="5"/>
  <c r="T338" i="5"/>
  <c r="N341" i="5"/>
  <c r="O341" i="5"/>
  <c r="P341" i="5"/>
  <c r="S341" i="5"/>
  <c r="T341" i="5"/>
  <c r="AC343" i="5"/>
  <c r="N345" i="5"/>
  <c r="O345" i="5"/>
  <c r="P345" i="5"/>
  <c r="S345" i="5"/>
  <c r="T345" i="5"/>
  <c r="AC347" i="5"/>
  <c r="N350" i="5"/>
  <c r="O350" i="5"/>
  <c r="P350" i="5"/>
  <c r="S350" i="5"/>
  <c r="T350" i="5"/>
  <c r="AC352" i="5"/>
  <c r="N354" i="5"/>
  <c r="O354" i="5"/>
  <c r="P354" i="5"/>
  <c r="S354" i="5"/>
  <c r="T354" i="5"/>
  <c r="N357" i="5"/>
  <c r="O357" i="5"/>
  <c r="P357" i="5"/>
  <c r="S357" i="5"/>
  <c r="T357" i="5"/>
  <c r="AC359" i="5"/>
  <c r="N361" i="5"/>
  <c r="O361" i="5"/>
  <c r="P361" i="5"/>
  <c r="S361" i="5"/>
  <c r="T361" i="5"/>
  <c r="AC363" i="5"/>
  <c r="N366" i="5"/>
  <c r="O366" i="5"/>
  <c r="P366" i="5"/>
  <c r="S366" i="5"/>
  <c r="T366" i="5"/>
  <c r="AC367" i="5"/>
  <c r="N369" i="5"/>
  <c r="O369" i="5"/>
  <c r="P369" i="5"/>
  <c r="S369" i="5"/>
  <c r="T369" i="5"/>
  <c r="N373" i="5"/>
  <c r="O373" i="5"/>
  <c r="P373" i="5"/>
  <c r="S373" i="5"/>
  <c r="T373" i="5"/>
  <c r="AC375" i="5"/>
  <c r="N377" i="5"/>
  <c r="O377" i="5"/>
  <c r="P377" i="5"/>
  <c r="S377" i="5"/>
  <c r="T377" i="5"/>
  <c r="AC379" i="5"/>
  <c r="N382" i="5"/>
  <c r="O382" i="5"/>
  <c r="P382" i="5"/>
  <c r="S382" i="5"/>
  <c r="T382" i="5"/>
  <c r="AC383" i="5"/>
  <c r="N385" i="5"/>
  <c r="O385" i="5"/>
  <c r="P385" i="5"/>
  <c r="S385" i="5"/>
  <c r="T385" i="5"/>
  <c r="N388" i="5"/>
  <c r="O388" i="5"/>
  <c r="P388" i="5"/>
  <c r="S388" i="5"/>
  <c r="T388" i="5"/>
  <c r="AC389" i="5"/>
  <c r="N392" i="5"/>
  <c r="O392" i="5"/>
  <c r="P392" i="5"/>
  <c r="S392" i="5"/>
  <c r="T392" i="5"/>
  <c r="N394" i="5"/>
  <c r="O394" i="5"/>
  <c r="P394" i="5"/>
  <c r="S394" i="5"/>
  <c r="T394" i="5"/>
  <c r="N396" i="5"/>
  <c r="O396" i="5"/>
  <c r="P396" i="5"/>
  <c r="S396" i="5"/>
  <c r="T396" i="5"/>
  <c r="N400" i="5"/>
  <c r="O400" i="5"/>
  <c r="P400" i="5"/>
  <c r="S400" i="5"/>
  <c r="T400" i="5"/>
  <c r="AA181" i="5"/>
  <c r="K78" i="5"/>
  <c r="M5" i="3" l="1"/>
  <c r="V5" i="3"/>
  <c r="M6" i="3"/>
  <c r="V6" i="3"/>
  <c r="AB202" i="5"/>
  <c r="X92" i="5"/>
  <c r="Z202" i="5"/>
  <c r="Z152" i="5"/>
  <c r="Y102" i="5"/>
  <c r="V102" i="5"/>
  <c r="W172" i="5"/>
  <c r="X162" i="5"/>
  <c r="W142" i="5"/>
  <c r="W102" i="5"/>
  <c r="Z92" i="5"/>
  <c r="AA162" i="5"/>
  <c r="W162" i="5"/>
  <c r="AB152" i="5"/>
  <c r="V142" i="5"/>
  <c r="Y142" i="5"/>
  <c r="AA122" i="5"/>
  <c r="X102" i="5"/>
  <c r="AB92" i="5"/>
  <c r="Y182" i="5"/>
  <c r="V182" i="5"/>
  <c r="AA182" i="5"/>
  <c r="Y162" i="5"/>
  <c r="V162" i="5"/>
  <c r="V122" i="5"/>
  <c r="Y122" i="5"/>
  <c r="Z102" i="5"/>
  <c r="V82" i="5"/>
  <c r="Y82" i="5"/>
  <c r="AA82" i="5"/>
  <c r="X202" i="5"/>
  <c r="AB182" i="5"/>
  <c r="X152" i="5"/>
  <c r="W122" i="5"/>
  <c r="AB102" i="5"/>
  <c r="W82" i="5"/>
  <c r="AA202" i="5"/>
  <c r="W202" i="5"/>
  <c r="Z182" i="5"/>
  <c r="AA152" i="5"/>
  <c r="W152" i="5"/>
  <c r="AB142" i="5"/>
  <c r="X122" i="5"/>
  <c r="X82" i="5"/>
  <c r="V202" i="5"/>
  <c r="Y202" i="5"/>
  <c r="X182" i="5"/>
  <c r="Y152" i="5"/>
  <c r="V152" i="5"/>
  <c r="AA142" i="5"/>
  <c r="Z122" i="5"/>
  <c r="Y92" i="5"/>
  <c r="V92" i="5"/>
  <c r="AA92" i="5"/>
  <c r="Z82" i="5"/>
  <c r="W182" i="5"/>
  <c r="AB162" i="5"/>
  <c r="Z142" i="5"/>
  <c r="AB122" i="5"/>
  <c r="AA102" i="5"/>
  <c r="W92" i="5"/>
  <c r="AB82" i="5"/>
  <c r="E241" i="5"/>
  <c r="L238" i="5"/>
  <c r="K238" i="5"/>
  <c r="E281" i="5"/>
  <c r="K278" i="5"/>
  <c r="L278" i="5"/>
  <c r="E231" i="5"/>
  <c r="L228" i="5"/>
  <c r="K228" i="5"/>
  <c r="E211" i="5"/>
  <c r="L208" i="5"/>
  <c r="K208" i="5"/>
  <c r="E301" i="5"/>
  <c r="K298" i="5"/>
  <c r="L298" i="5"/>
  <c r="E291" i="5"/>
  <c r="L288" i="5"/>
  <c r="K288" i="5"/>
  <c r="E271" i="5"/>
  <c r="K268" i="5"/>
  <c r="L268" i="5"/>
  <c r="E261" i="5"/>
  <c r="K258" i="5"/>
  <c r="L258" i="5"/>
  <c r="E251" i="5"/>
  <c r="L248" i="5"/>
  <c r="K248" i="5"/>
  <c r="E221" i="5"/>
  <c r="K218" i="5"/>
  <c r="L218" i="5"/>
  <c r="E201" i="5"/>
  <c r="L198" i="5"/>
  <c r="K198" i="5"/>
  <c r="E171" i="5"/>
  <c r="K168" i="5"/>
  <c r="L168" i="5"/>
  <c r="E181" i="5"/>
  <c r="L178" i="5"/>
  <c r="K178" i="5"/>
  <c r="L138" i="5"/>
  <c r="I5" i="3"/>
  <c r="F5" i="3"/>
  <c r="I6" i="3"/>
  <c r="F6" i="3"/>
  <c r="C188" i="5"/>
  <c r="C191" i="5" s="1"/>
  <c r="H228" i="5"/>
  <c r="H231" i="5" s="1"/>
  <c r="L158" i="5"/>
  <c r="E188" i="5"/>
  <c r="AC128" i="5"/>
  <c r="O82" i="5"/>
  <c r="K138" i="5"/>
  <c r="AC98" i="5"/>
  <c r="K128" i="5"/>
  <c r="O172" i="5"/>
  <c r="H108" i="5"/>
  <c r="H111" i="5" s="1"/>
  <c r="S82" i="5"/>
  <c r="T82" i="5"/>
  <c r="N172" i="5"/>
  <c r="H248" i="5"/>
  <c r="H251" i="5" s="1"/>
  <c r="AC168" i="5"/>
  <c r="H168" i="5"/>
  <c r="H171" i="5" s="1"/>
  <c r="H98" i="5"/>
  <c r="H101" i="5" s="1"/>
  <c r="N82" i="5"/>
  <c r="H258" i="5"/>
  <c r="H261" i="5" s="1"/>
  <c r="H238" i="5"/>
  <c r="H241" i="5" s="1"/>
  <c r="AC188" i="5"/>
  <c r="H178" i="5"/>
  <c r="H181" i="5" s="1"/>
  <c r="P82" i="5"/>
  <c r="S172" i="5"/>
  <c r="AC88" i="5"/>
  <c r="H268" i="5"/>
  <c r="H271" i="5" s="1"/>
  <c r="D161" i="5"/>
  <c r="W131" i="5"/>
  <c r="AB132" i="5" s="1"/>
  <c r="S152" i="5"/>
  <c r="H218" i="5"/>
  <c r="H221" i="5" s="1"/>
  <c r="AC108" i="5"/>
  <c r="H158" i="5"/>
  <c r="H161" i="5" s="1"/>
  <c r="H138" i="5"/>
  <c r="H141" i="5" s="1"/>
  <c r="H128" i="5"/>
  <c r="H131" i="5" s="1"/>
  <c r="L128" i="5"/>
  <c r="W191" i="5"/>
  <c r="AA192" i="5" s="1"/>
  <c r="T172" i="5"/>
  <c r="X171" i="5"/>
  <c r="AB172" i="5" s="1"/>
  <c r="AC141" i="5"/>
  <c r="S212" i="5"/>
  <c r="L148" i="5"/>
  <c r="O212" i="5"/>
  <c r="P212" i="5"/>
  <c r="AC118" i="5"/>
  <c r="K148" i="5"/>
  <c r="K158" i="5"/>
  <c r="AC198" i="5"/>
  <c r="H198" i="5"/>
  <c r="H201" i="5" s="1"/>
  <c r="E151" i="5"/>
  <c r="X111" i="5"/>
  <c r="W112" i="5" s="1"/>
  <c r="H118" i="5"/>
  <c r="H121" i="5" s="1"/>
  <c r="AC181" i="5"/>
  <c r="H148" i="5"/>
  <c r="H151" i="5" s="1"/>
  <c r="O132" i="5"/>
  <c r="P122" i="5"/>
  <c r="L88" i="5"/>
  <c r="H88" i="5"/>
  <c r="H91" i="5" s="1"/>
  <c r="N132" i="5"/>
  <c r="AC138" i="5"/>
  <c r="T212" i="5"/>
  <c r="N212" i="5"/>
  <c r="P202" i="5"/>
  <c r="F188" i="5"/>
  <c r="F191" i="5" s="1"/>
  <c r="AC161" i="5"/>
  <c r="S142" i="5"/>
  <c r="P162" i="5"/>
  <c r="AC121" i="5"/>
  <c r="AC148" i="5"/>
  <c r="H208" i="5"/>
  <c r="H211" i="5" s="1"/>
  <c r="S192" i="5"/>
  <c r="AC158" i="5"/>
  <c r="AC208" i="5"/>
  <c r="H188" i="5"/>
  <c r="H191" i="5" s="1"/>
  <c r="AC178" i="5"/>
  <c r="AC151" i="5"/>
  <c r="H298" i="5"/>
  <c r="H301" i="5" s="1"/>
  <c r="D188" i="5"/>
  <c r="D191" i="5" s="1"/>
  <c r="S162" i="5"/>
  <c r="H288" i="5"/>
  <c r="H291" i="5" s="1"/>
  <c r="H278" i="5"/>
  <c r="H281" i="5" s="1"/>
  <c r="AC91" i="5"/>
  <c r="P172" i="5"/>
  <c r="AC78" i="5"/>
  <c r="O92" i="5"/>
  <c r="P92" i="5"/>
  <c r="S92" i="5"/>
  <c r="S102" i="5"/>
  <c r="T102" i="5"/>
  <c r="P112" i="5"/>
  <c r="S112" i="5"/>
  <c r="O202" i="5"/>
  <c r="N202" i="5"/>
  <c r="S202" i="5"/>
  <c r="T202" i="5"/>
  <c r="N182" i="5"/>
  <c r="AC201" i="5"/>
  <c r="T192" i="5"/>
  <c r="O142" i="5"/>
  <c r="S132" i="5"/>
  <c r="O192" i="5"/>
  <c r="T142" i="5"/>
  <c r="N122" i="5"/>
  <c r="N112" i="5"/>
  <c r="O102" i="5"/>
  <c r="N92" i="5"/>
  <c r="AC81" i="5"/>
  <c r="N192" i="5"/>
  <c r="P192" i="5"/>
  <c r="N162" i="5"/>
  <c r="O162" i="5"/>
  <c r="T162" i="5"/>
  <c r="O122" i="5"/>
  <c r="O112" i="5"/>
  <c r="P102" i="5"/>
  <c r="P182" i="5"/>
  <c r="S182" i="5"/>
  <c r="O182" i="5"/>
  <c r="T132" i="5"/>
  <c r="S122" i="5"/>
  <c r="T152" i="5"/>
  <c r="N152" i="5"/>
  <c r="O152" i="5"/>
  <c r="P152" i="5"/>
  <c r="P142" i="5"/>
  <c r="P132" i="5"/>
  <c r="T112" i="5"/>
  <c r="AC101" i="5"/>
  <c r="T122" i="5"/>
  <c r="N102" i="5"/>
  <c r="T92" i="5"/>
  <c r="T182" i="5"/>
  <c r="N142" i="5"/>
  <c r="L108" i="5"/>
  <c r="Z211" i="5"/>
  <c r="V212" i="5" s="1"/>
  <c r="L118" i="5"/>
  <c r="E91" i="5"/>
  <c r="K118" i="5"/>
  <c r="L98" i="5"/>
  <c r="K88" i="5"/>
  <c r="K108" i="5"/>
  <c r="K98" i="5"/>
  <c r="X212" i="5" l="1"/>
  <c r="Y112" i="5"/>
  <c r="AA112" i="5"/>
  <c r="AA172" i="5"/>
  <c r="Z172" i="5"/>
  <c r="Y172" i="5"/>
  <c r="X132" i="5"/>
  <c r="Z192" i="5"/>
  <c r="AA132" i="5"/>
  <c r="X192" i="5"/>
  <c r="Y212" i="5"/>
  <c r="AB212" i="5"/>
  <c r="AC191" i="5"/>
  <c r="W192" i="5"/>
  <c r="AC111" i="5"/>
  <c r="X112" i="5"/>
  <c r="Z112" i="5"/>
  <c r="Y192" i="5"/>
  <c r="AC131" i="5"/>
  <c r="W132" i="5"/>
  <c r="AC211" i="5"/>
  <c r="Z212" i="5"/>
  <c r="AC171" i="5"/>
  <c r="X172" i="5"/>
  <c r="AB192" i="5"/>
  <c r="W212" i="5"/>
  <c r="AB112" i="5"/>
  <c r="V132" i="5"/>
  <c r="V192" i="5"/>
  <c r="V112" i="5"/>
  <c r="AA212" i="5"/>
  <c r="Z132" i="5"/>
  <c r="V172" i="5"/>
  <c r="Y132" i="5"/>
  <c r="E191" i="5"/>
  <c r="L188" i="5"/>
  <c r="K18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Pack</author>
    <author>PACK, Lord</author>
    <author>Campaigns Department</author>
    <author>Innovations Department</author>
    <author>Mr M Pack</author>
  </authors>
  <commentList>
    <comment ref="BE3" authorId="0" shapeId="0" xr:uid="{00000000-0006-0000-0000-000001000000}">
      <text>
        <r>
          <rPr>
            <sz val="9"/>
            <color indexed="81"/>
            <rFont val="Tahoma"/>
            <family val="2"/>
          </rPr>
          <t xml:space="preserve">House of Commons projection basd on local elections resuluts, from Thrasher and Rallings
</t>
        </r>
      </text>
    </comment>
    <comment ref="C4" authorId="0" shapeId="0" xr:uid="{7C0DA5D7-22F1-4F3B-8F53-1E6D400680CA}">
      <text>
        <r>
          <rPr>
            <sz val="9"/>
            <color indexed="81"/>
            <rFont val="Tahoma"/>
            <family val="2"/>
          </rPr>
          <t xml:space="preserve">From Thrahser and Rallings Local Election Handbooks, usually slightly different from Wikipedia
</t>
        </r>
      </text>
    </comment>
    <comment ref="P4" authorId="0" shapeId="0" xr:uid="{00000000-0006-0000-0000-000002000000}">
      <text>
        <r>
          <rPr>
            <sz val="9"/>
            <color indexed="81"/>
            <rFont val="Tahoma"/>
            <family val="2"/>
          </rPr>
          <t xml:space="preserve">Includes SDP during Alliance years. Excludes continuing SDP after merger
</t>
        </r>
      </text>
    </comment>
    <comment ref="AI4" authorId="0" shapeId="0" xr:uid="{5A3ED1F0-5B83-4A07-BB04-8B681772EB2D}">
      <text>
        <r>
          <rPr>
            <sz val="9"/>
            <color indexed="81"/>
            <rFont val="Tahoma"/>
            <family val="2"/>
          </rPr>
          <t>Average poll rating in April (or May if June polling day; or May if late May polling day). For 1992 data taken from post-general election April polls only. For 1995 April data used, though Scottish elections, unlike the rest, were in early April. 
Data taken from PollBase.
Shading indicates party in government.</t>
        </r>
      </text>
    </comment>
    <comment ref="AN4" authorId="0" shapeId="0" xr:uid="{24A31ED1-13D0-4B0C-82CF-21977F7E21BB}">
      <text>
        <r>
          <rPr>
            <sz val="9"/>
            <color indexed="81"/>
            <rFont val="Tahoma"/>
            <family val="2"/>
          </rPr>
          <t>Difference between poll rating and average of TR/BBC local election vote share figures
Shading indicates party in government.</t>
        </r>
      </text>
    </comment>
    <comment ref="D5" authorId="0" shapeId="0" xr:uid="{00000000-0006-0000-0000-000004000000}">
      <text>
        <r>
          <rPr>
            <sz val="9"/>
            <color indexed="81"/>
            <rFont val="Tahoma"/>
            <family val="2"/>
          </rPr>
          <t>TR =equivalent national vote share calculated by Thrasher and Rallings. Also called NEV.</t>
        </r>
      </text>
    </comment>
    <comment ref="E5" authorId="0" shapeId="0" xr:uid="{00000000-0006-0000-0000-000005000000}">
      <text>
        <r>
          <rPr>
            <sz val="9"/>
            <color indexed="81"/>
            <rFont val="Tahoma"/>
            <family val="2"/>
          </rPr>
          <t>BBC =equivalent national vote share calculated by BBC / Curtice. Note - initial figures on the night arer often subsequently updated. Also called PNS.</t>
        </r>
      </text>
    </comment>
    <comment ref="F5" authorId="0" shapeId="0" xr:uid="{00000000-0006-0000-0000-000006000000}">
      <text>
        <r>
          <rPr>
            <sz val="9"/>
            <color indexed="81"/>
            <rFont val="Tahoma"/>
            <family val="2"/>
          </rPr>
          <t>Seat changes taken from contemporary media reports, except 1983-2002 for main parties (taken from BBC 2003 elections briefing book). Further notes given on individual years below where applicable.
For years taken from the BBC briefings book, have spot checked some against Wikipedia and contremporary media coverage. Wikipedia's (unsourced) figures are sometimes very different but no clear pattern from media coverage to suggest they are preferable to the BBC's.
Figures in italics are less thorougly checked figures from press reports and likely to be from the Press Association / not adjusted for boundary changes.</t>
        </r>
      </text>
    </comment>
    <comment ref="G5" authorId="0" shapeId="0" xr:uid="{AC1F4839-FD58-49BA-ABA6-75ECD794A17C}">
      <text>
        <r>
          <rPr>
            <sz val="9"/>
            <color indexed="81"/>
            <rFont val="Tahoma"/>
            <family val="2"/>
          </rPr>
          <t>Change in seats as a percentager of seats up for election.</t>
        </r>
      </text>
    </comment>
    <comment ref="A10" authorId="1" shapeId="0" xr:uid="{3E048F84-BADA-403E-8C52-FC3C227F2D74}">
      <text>
        <r>
          <rPr>
            <sz val="9"/>
            <color indexed="81"/>
            <rFont val="Tahoma"/>
            <family val="2"/>
          </rPr>
          <t>Seat change data from Press Association via David Cowling</t>
        </r>
      </text>
    </comment>
    <comment ref="A16" authorId="0" shapeId="0" xr:uid="{DEC688FB-0573-4AC8-AF3E-C26270B37110}">
      <text>
        <r>
          <rPr>
            <sz val="9"/>
            <color indexed="81"/>
            <rFont val="Tahoma"/>
            <family val="2"/>
          </rPr>
          <t>Seat changes this year not adjusted for boundary changes - hence net gains for all three main parties due to changes in number of councillors</t>
        </r>
      </text>
    </comment>
    <comment ref="BG19" authorId="0" shapeId="0" xr:uid="{C1948AE5-5767-4F16-BC79-45454B079BD2}">
      <text>
        <r>
          <rPr>
            <sz val="9"/>
            <color indexed="81"/>
            <rFont val="Tahoma"/>
            <family val="2"/>
          </rPr>
          <t>The Guardian/Curtice &amp; co gave 272, 316, 37</t>
        </r>
      </text>
    </comment>
    <comment ref="BG24" authorId="0" shapeId="0" xr:uid="{78885926-D471-406E-90F6-7020779CEAA3}">
      <text>
        <r>
          <rPr>
            <sz val="9"/>
            <color indexed="81"/>
            <rFont val="Tahoma"/>
            <family val="2"/>
          </rPr>
          <t>From Times/Sunday Times. Also gave figures as 298/303/25</t>
        </r>
      </text>
    </comment>
    <comment ref="AK25" authorId="0" shapeId="0" xr:uid="{E789D620-9805-4552-BD4C-90AB3006112E}">
      <text>
        <r>
          <rPr>
            <sz val="9"/>
            <color indexed="81"/>
            <rFont val="Tahoma"/>
            <family val="2"/>
          </rPr>
          <t>Based on only the post-general election polls from April</t>
        </r>
      </text>
    </comment>
    <comment ref="AW39" authorId="2" shapeId="0" xr:uid="{00000000-0006-0000-0000-000008000000}">
      <text>
        <r>
          <rPr>
            <sz val="8"/>
            <color indexed="81"/>
            <rFont val="Tahoma"/>
            <family val="2"/>
          </rPr>
          <t>-95 was prediction for Newsnight, +100 was later prediction</t>
        </r>
      </text>
    </comment>
    <comment ref="A41" authorId="3" shapeId="0" xr:uid="{00000000-0006-0000-0000-000009000000}">
      <text>
        <r>
          <rPr>
            <sz val="8"/>
            <color indexed="81"/>
            <rFont val="Tahoma"/>
            <family val="2"/>
          </rPr>
          <t>BBC seat figure changes were +256, -331 and +34. However, Sky figures given as these included changes based notional results for new councils</t>
        </r>
      </text>
    </comment>
    <comment ref="C41" authorId="0" shapeId="0" xr:uid="{5A43DBC2-9BF3-4933-9E57-587BD33D1F58}">
      <text>
        <r>
          <rPr>
            <sz val="9"/>
            <color indexed="81"/>
            <rFont val="Tahoma"/>
            <family val="2"/>
          </rPr>
          <t>BBC website says 8,416 - http://news.bbc.co.uk/1/shared/bsp/hi/elections/local_council/08/html/region_99999.stm</t>
        </r>
      </text>
    </comment>
    <comment ref="A42" authorId="4" shapeId="0" xr:uid="{00000000-0006-0000-0000-00000A000000}">
      <text>
        <r>
          <rPr>
            <sz val="8"/>
            <color indexed="81"/>
            <rFont val="Tahoma"/>
            <family val="2"/>
          </rPr>
          <t xml:space="preserve">BBC seat figure changes were +233, -273 and -4. HoC Report gave +244, -291, -2. However, Sky figures given as these included changes based notional results for new councils
</t>
        </r>
      </text>
    </comment>
    <comment ref="U42" authorId="0" shapeId="0" xr:uid="{52C8C683-4C99-4275-88D3-82F5AF36F852}">
      <text>
        <r>
          <rPr>
            <sz val="9"/>
            <color indexed="81"/>
            <rFont val="Tahoma"/>
            <family val="2"/>
          </rPr>
          <t>https://web.archive.org/web/20140212104518/http://blogs.lse.ac.uk/politicsandpolicy/archives/33217</t>
        </r>
      </text>
    </comment>
    <comment ref="A45" authorId="4" shapeId="0" xr:uid="{00000000-0006-0000-0000-00000B000000}">
      <text>
        <r>
          <rPr>
            <sz val="8"/>
            <color indexed="81"/>
            <rFont val="Tahoma"/>
            <family val="2"/>
          </rPr>
          <t>BBC figures exclude councils with boundary changes, so other figures used</t>
        </r>
        <r>
          <rPr>
            <sz val="8"/>
            <color indexed="81"/>
            <rFont val="Tahoma"/>
            <family val="2"/>
          </rPr>
          <t xml:space="preserve">
</t>
        </r>
      </text>
    </comment>
    <comment ref="AX45" authorId="0" shapeId="0" xr:uid="{00000000-0006-0000-0000-00000C000000}">
      <text>
        <r>
          <rPr>
            <sz val="9"/>
            <color indexed="81"/>
            <rFont val="Tahoma"/>
            <family val="2"/>
          </rPr>
          <t>Changed from 37% following late April by-elections</t>
        </r>
      </text>
    </comment>
    <comment ref="AZ45" authorId="0" shapeId="0" xr:uid="{00000000-0006-0000-0000-00000D000000}">
      <text>
        <r>
          <rPr>
            <b/>
            <sz val="9"/>
            <color indexed="81"/>
            <rFont val="Tahoma"/>
            <family val="2"/>
          </rPr>
          <t>Changed from 18% following late April by-elections</t>
        </r>
        <r>
          <rPr>
            <sz val="9"/>
            <color indexed="81"/>
            <rFont val="Tahoma"/>
            <family val="2"/>
          </rPr>
          <t xml:space="preserve">
</t>
        </r>
      </text>
    </comment>
    <comment ref="K47" authorId="0" shapeId="0" xr:uid="{00000000-0006-0000-0000-00000E000000}">
      <text>
        <r>
          <rPr>
            <sz val="9"/>
            <color indexed="81"/>
            <rFont val="Tahoma"/>
            <family val="2"/>
          </rPr>
          <t>Thasher and Rallings book gives +298. Other figures only slightly different</t>
        </r>
      </text>
    </comment>
    <comment ref="F48" authorId="0" shapeId="0" xr:uid="{00000000-0006-0000-0000-00000F000000}">
      <text>
        <r>
          <rPr>
            <sz val="9"/>
            <color indexed="81"/>
            <rFont val="Tahoma"/>
            <family val="2"/>
          </rPr>
          <t>Thrasher + Rallings (who caveat about not being able to do usual adjustment for boundary changes and so count seat totals instead): +504</t>
        </r>
        <r>
          <rPr>
            <b/>
            <sz val="9"/>
            <color indexed="81"/>
            <rFont val="Tahoma"/>
            <family val="2"/>
          </rPr>
          <t xml:space="preserve">
</t>
        </r>
      </text>
    </comment>
    <comment ref="K48" authorId="0" shapeId="0" xr:uid="{00000000-0006-0000-0000-000010000000}">
      <text>
        <r>
          <rPr>
            <sz val="9"/>
            <color indexed="81"/>
            <rFont val="Tahoma"/>
            <family val="2"/>
          </rPr>
          <t xml:space="preserve">Thrasher + Rallings (who caveat about not being able to do usual adjustment for boundary changes and so count seat totals instead): -238
</t>
        </r>
      </text>
    </comment>
    <comment ref="R48" authorId="0" shapeId="0" xr:uid="{00000000-0006-0000-0000-000011000000}">
      <text>
        <r>
          <rPr>
            <sz val="9"/>
            <color indexed="81"/>
            <rFont val="Tahoma"/>
            <family val="2"/>
          </rPr>
          <t xml:space="preserve">Thrasher + Rallings (who caveat about not being able to do usual adjustment for boundary changes and so count seat totals instead): -425
</t>
        </r>
      </text>
    </comment>
    <comment ref="W48" authorId="0" shapeId="0" xr:uid="{00000000-0006-0000-0000-000012000000}">
      <text>
        <r>
          <rPr>
            <sz val="9"/>
            <color indexed="81"/>
            <rFont val="Tahoma"/>
            <family val="2"/>
          </rPr>
          <t>Thrasher + Rallings (who caveat about not being able to do usual adjustment for boundary changes and so count seat totals instead): +112</t>
        </r>
      </text>
    </comment>
    <comment ref="AV49" authorId="0" shapeId="0" xr:uid="{00000000-0006-0000-0000-000013000000}">
      <text>
        <r>
          <rPr>
            <sz val="9"/>
            <color indexed="81"/>
            <rFont val="Tahoma"/>
            <family val="2"/>
          </rPr>
          <t>Earlier forecast was 32%</t>
        </r>
      </text>
    </comment>
    <comment ref="AX49" authorId="0" shapeId="0" xr:uid="{00000000-0006-0000-0000-000014000000}">
      <text>
        <r>
          <rPr>
            <sz val="9"/>
            <color indexed="81"/>
            <rFont val="Tahoma"/>
            <family val="2"/>
          </rPr>
          <t xml:space="preserve">Earlier forecast was 31%
</t>
        </r>
      </text>
    </comment>
    <comment ref="AZ49" authorId="0" shapeId="0" xr:uid="{00000000-0006-0000-0000-000015000000}">
      <text>
        <r>
          <rPr>
            <b/>
            <sz val="9"/>
            <color indexed="81"/>
            <rFont val="Tahoma"/>
            <family val="2"/>
          </rPr>
          <t>Earlier forecast was also 16%</t>
        </r>
      </text>
    </comment>
    <comment ref="BB49" authorId="0" shapeId="0" xr:uid="{00000000-0006-0000-0000-000016000000}">
      <text>
        <r>
          <rPr>
            <sz val="9"/>
            <color indexed="81"/>
            <rFont val="Tahoma"/>
            <family val="2"/>
          </rPr>
          <t>Earlier forceast was also 12%</t>
        </r>
      </text>
    </comment>
    <comment ref="P50" authorId="0" shapeId="0" xr:uid="{00000000-0006-0000-0000-000017000000}">
      <text>
        <r>
          <rPr>
            <sz val="9"/>
            <color indexed="81"/>
            <rFont val="Tahoma"/>
            <family val="2"/>
          </rPr>
          <t xml:space="preserve">From Thrasher &amp; Rallings 2017 Local Elections Handbook - was initially reported as 14%
</t>
        </r>
      </text>
    </comment>
    <comment ref="AB50" authorId="0" shapeId="0" xr:uid="{03F51EA8-AD11-4446-A517-24945D2C7FA4}">
      <text>
        <r>
          <rPr>
            <b/>
            <sz val="9"/>
            <color indexed="81"/>
            <rFont val="Tahoma"/>
            <family val="2"/>
          </rPr>
          <t>Taken from BBC reports that have slightly different figures for the other parties</t>
        </r>
      </text>
    </comment>
    <comment ref="AV50" authorId="0" shapeId="0" xr:uid="{00000000-0006-0000-0000-000018000000}">
      <text>
        <r>
          <rPr>
            <sz val="9"/>
            <color indexed="81"/>
            <rFont val="Tahoma"/>
            <family val="2"/>
          </rPr>
          <t>Predictions are for England</t>
        </r>
        <r>
          <rPr>
            <sz val="9"/>
            <color indexed="81"/>
            <rFont val="Tahoma"/>
            <family val="2"/>
          </rPr>
          <t xml:space="preserve">
</t>
        </r>
      </text>
    </comment>
    <comment ref="AW50" authorId="0" shapeId="0" xr:uid="{00000000-0006-0000-0000-000019000000}">
      <text>
        <r>
          <rPr>
            <sz val="9"/>
            <color indexed="81"/>
            <rFont val="Tahoma"/>
            <family val="2"/>
          </rPr>
          <t>Seat change figures are the revised projection</t>
        </r>
      </text>
    </comment>
    <comment ref="F51" authorId="0" shapeId="0" xr:uid="{5D4DA5CF-7B19-446B-B9AD-2332DADC5DAD}">
      <text>
        <r>
          <rPr>
            <sz val="9"/>
            <color indexed="81"/>
            <rFont val="Tahoma"/>
            <family val="2"/>
          </rPr>
          <t>Local Elections Handbook 2018 gives as -34</t>
        </r>
      </text>
    </comment>
    <comment ref="K51" authorId="0" shapeId="0" xr:uid="{93518D27-97B6-4F4B-A442-A9719A83DD46}">
      <text>
        <r>
          <rPr>
            <sz val="9"/>
            <color indexed="81"/>
            <rFont val="Tahoma"/>
            <family val="2"/>
          </rPr>
          <t>Local Elections Handbook 2018 gives as +71</t>
        </r>
      </text>
    </comment>
    <comment ref="R51" authorId="0" shapeId="0" xr:uid="{1B5A6619-C26F-4B97-ADF9-99B440AE380A}">
      <text>
        <r>
          <rPr>
            <sz val="9"/>
            <color indexed="81"/>
            <rFont val="Tahoma"/>
            <family val="2"/>
          </rPr>
          <t>+75 in media reports excludes ward in Southwark where election delayed due to a candidate's death. This take it up to +78. But Local Elections Handbook 2018 gives as +74.</t>
        </r>
      </text>
    </comment>
    <comment ref="W51" authorId="0" shapeId="0" xr:uid="{ECC76A4E-BE34-40BF-B656-14DD38EF053E}">
      <text>
        <r>
          <rPr>
            <sz val="9"/>
            <color indexed="81"/>
            <rFont val="Tahoma"/>
            <family val="2"/>
          </rPr>
          <t>Local Elections Handbook 2018 gives as -122</t>
        </r>
      </text>
    </comment>
    <comment ref="A52" authorId="0" shapeId="0" xr:uid="{0879DA01-5F90-4097-BFD2-8C4BF43B957A}">
      <text>
        <r>
          <rPr>
            <sz val="9"/>
            <color indexed="81"/>
            <rFont val="Tahoma"/>
            <family val="2"/>
          </rPr>
          <t>Seat changes taken from Local Election Handbook 2019. Figures slightly different from contemporary media reports.</t>
        </r>
      </text>
    </comment>
    <comment ref="AV52" authorId="0" shapeId="0" xr:uid="{846E4940-14BF-4CFB-9373-73C32AC93AD2}">
      <text>
        <r>
          <rPr>
            <sz val="9"/>
            <color indexed="81"/>
            <rFont val="Tahoma"/>
            <family val="2"/>
          </rPr>
          <t>Figures taken from Sky News appearance; slightly different from earlier Sunday Times article.</t>
        </r>
      </text>
    </comment>
    <comment ref="F53" authorId="0" shapeId="0" xr:uid="{CD694FC4-2B33-4404-A3C5-EF966308B1D1}">
      <text>
        <r>
          <rPr>
            <sz val="9"/>
            <color indexed="81"/>
            <rFont val="Tahoma"/>
            <family val="2"/>
          </rPr>
          <t>House of Commons Library. Slightly different from 'final' PA figures in media.</t>
        </r>
      </text>
    </comment>
    <comment ref="K53" authorId="0" shapeId="0" xr:uid="{1D797D25-5927-40B9-A608-FCC22CF73374}">
      <text>
        <r>
          <rPr>
            <sz val="9"/>
            <color indexed="81"/>
            <rFont val="Tahoma"/>
            <family val="2"/>
          </rPr>
          <t>House of Commons Library. Slightly different from 'final' PA figures in media.</t>
        </r>
      </text>
    </comment>
    <comment ref="AV53" authorId="0" shapeId="0" xr:uid="{B3BF1719-190D-4DC2-8503-9F1BBE598272}">
      <text>
        <r>
          <rPr>
            <sz val="9"/>
            <color indexed="81"/>
            <rFont val="Tahoma"/>
            <family val="2"/>
          </rPr>
          <t>No predictions this year due to coronavirus having stopped most council by-elections.</t>
        </r>
      </text>
    </comment>
    <comment ref="BK54" authorId="0" shapeId="0" xr:uid="{44BC481E-C5AD-4525-B2E7-05B611954870}">
      <text>
        <r>
          <rPr>
            <b/>
            <sz val="9"/>
            <color indexed="81"/>
            <rFont val="Tahoma"/>
            <family val="2"/>
          </rPr>
          <t>Stephen Fisher from BBC PNS calculations</t>
        </r>
      </text>
    </comment>
    <comment ref="BL54" authorId="0" shapeId="0" xr:uid="{E458F4F1-4DDD-41D9-8B9B-85815A4AB70D}">
      <text>
        <r>
          <rPr>
            <b/>
            <sz val="9"/>
            <color indexed="81"/>
            <rFont val="Tahoma"/>
            <family val="2"/>
          </rPr>
          <t>Stephen Fisher from BBC PNS calculations</t>
        </r>
      </text>
    </comment>
    <comment ref="BM54" authorId="0" shapeId="0" xr:uid="{BA4870EC-7D54-4E26-A0F4-48317763BCDD}">
      <text>
        <r>
          <rPr>
            <b/>
            <sz val="9"/>
            <color indexed="81"/>
            <rFont val="Tahoma"/>
            <family val="2"/>
          </rPr>
          <t>Stephen Fisher from BBC PNS calculations</t>
        </r>
      </text>
    </comment>
    <comment ref="F55" authorId="0" shapeId="0" xr:uid="{B832F648-EE7C-4F57-9AE1-D67FCF04769D}">
      <text>
        <r>
          <rPr>
            <sz val="9"/>
            <color indexed="81"/>
            <rFont val="Tahoma"/>
            <family val="2"/>
          </rPr>
          <t>-1063 in media reports, -1059 in Thrasher and Rallings local election handbook</t>
        </r>
      </text>
    </comment>
    <comment ref="K55" authorId="0" shapeId="0" xr:uid="{E6D6AC01-FD7D-4097-A73A-253EA3BB117B}">
      <text>
        <r>
          <rPr>
            <sz val="9"/>
            <color indexed="81"/>
            <rFont val="Tahoma"/>
            <family val="2"/>
          </rPr>
          <t>+537 in media reports, +578 in Thrasher and Rallings local election handbook</t>
        </r>
      </text>
    </comment>
    <comment ref="R55" authorId="0" shapeId="0" xr:uid="{948AE204-DD65-4423-AB40-6089FC768E6C}">
      <text>
        <r>
          <rPr>
            <sz val="9"/>
            <color indexed="81"/>
            <rFont val="Tahoma"/>
            <family val="2"/>
          </rPr>
          <t>+407 in media reports, +432 in Thrasher and Rallings local election handbook</t>
        </r>
      </text>
    </comment>
    <comment ref="AB55" authorId="0" shapeId="0" xr:uid="{66B6E986-0DB9-4391-8730-94BCA79AB8F7}">
      <text>
        <r>
          <rPr>
            <sz val="9"/>
            <color indexed="81"/>
            <rFont val="Tahoma"/>
            <family val="2"/>
          </rPr>
          <t>+241 in media reports, +231 in Thrasher and Rallings local election handbook</t>
        </r>
      </text>
    </comment>
    <comment ref="F56" authorId="0" shapeId="0" xr:uid="{4B1F961F-97A3-4861-B9F6-A8BBD492F7B3}">
      <text>
        <r>
          <rPr>
            <sz val="9"/>
            <color indexed="81"/>
            <rFont val="Tahoma"/>
            <family val="2"/>
          </rPr>
          <t>Reported as -474 at the time, but -473 in Thrasher and Rallings Election Handbook</t>
        </r>
      </text>
    </comment>
    <comment ref="AA56" authorId="0" shapeId="0" xr:uid="{7A557F5D-5AA9-4AC0-A651-5553617A32F3}">
      <text>
        <r>
          <rPr>
            <sz val="9"/>
            <color indexed="81"/>
            <rFont val="Tahoma"/>
            <family val="2"/>
          </rPr>
          <t>Source: https://electionsetc.com/2024/05/04/local-elections-2024-summary-saturday-4th-may/</t>
        </r>
      </text>
    </comment>
    <comment ref="F57" authorId="0" shapeId="0" xr:uid="{CDBF88E2-6C22-4A22-A802-04B2A092AD73}">
      <text>
        <r>
          <rPr>
            <sz val="9"/>
            <color indexed="81"/>
            <rFont val="Tahoma"/>
            <family val="2"/>
          </rPr>
          <t>Reported as -672 at the time, but -675 in Thrasher and Rallings Election Handbook</t>
        </r>
      </text>
    </comment>
    <comment ref="K57" authorId="0" shapeId="0" xr:uid="{590B9217-F1F0-4C6B-A208-C10CBDBBB672}">
      <text>
        <r>
          <rPr>
            <sz val="9"/>
            <color indexed="81"/>
            <rFont val="Tahoma"/>
            <family val="2"/>
          </rPr>
          <t>Reported as -186 at the time, but -189 in Thrasher and Rallings Election Handbook</t>
        </r>
      </text>
    </comment>
    <comment ref="R57" authorId="0" shapeId="0" xr:uid="{198A0C96-814D-48A1-87C9-8BC57F22E819}">
      <text>
        <r>
          <rPr>
            <sz val="9"/>
            <color indexed="81"/>
            <rFont val="Tahoma"/>
            <family val="2"/>
          </rPr>
          <t>Reported as +162 at the time, but +163 in Thrasher and Rallings Election Handbook</t>
        </r>
      </text>
    </comment>
    <comment ref="W57" authorId="0" shapeId="0" xr:uid="{0CC8E390-A97D-408F-8777-894624644FE7}">
      <text>
        <r>
          <rPr>
            <sz val="9"/>
            <color indexed="81"/>
            <rFont val="Tahoma"/>
            <family val="2"/>
          </rPr>
          <t>Reported as +674 at the time, but +677 in Thrasher and Rallings Election Handbook</t>
        </r>
      </text>
    </comment>
    <comment ref="AB57" authorId="0" shapeId="0" xr:uid="{22BC9B2B-BA52-453D-A878-FD21F85A2A48}">
      <text>
        <r>
          <rPr>
            <sz val="9"/>
            <color indexed="81"/>
            <rFont val="Tahoma"/>
            <family val="2"/>
          </rPr>
          <t>Reported as +45 at the time, but +44 in Thrasher and Rallings Election Handbook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Mark Pack</author>
    <author>Campaigns Department</author>
  </authors>
  <commentList>
    <comment ref="G2" authorId="0" shapeId="0" xr:uid="{DC90CD48-D7DB-48C5-88C6-F876BD09B3F7}">
      <text>
        <r>
          <rPr>
            <sz val="9"/>
            <color indexed="81"/>
            <rFont val="Tahoma"/>
            <family val="2"/>
          </rPr>
          <t>UKIP, Brexit or Reform depending on year</t>
        </r>
      </text>
    </comment>
    <comment ref="R2" authorId="0" shapeId="0" xr:uid="{413C1DA7-EEC5-4C6B-8D91-B7BC368FD559}">
      <text>
        <r>
          <rPr>
            <sz val="9"/>
            <color indexed="81"/>
            <rFont val="Tahoma"/>
            <family val="2"/>
          </rPr>
          <t>Included in ind/oth before 2022</t>
        </r>
      </text>
    </comment>
    <comment ref="S27" authorId="0" shapeId="0" xr:uid="{7C3E24B6-4EC3-42F7-99AD-F3B18B795600}">
      <text>
        <r>
          <rPr>
            <sz val="9"/>
            <color indexed="81"/>
            <rFont val="Tahoma"/>
            <family val="2"/>
          </rPr>
          <t>Reform won 2 district seats</t>
        </r>
      </text>
    </comment>
    <comment ref="B49" authorId="0" shapeId="0" xr:uid="{97E57C08-9988-434F-88E7-44AEE7C3B4EC}">
      <text>
        <r>
          <rPr>
            <sz val="9"/>
            <color indexed="81"/>
            <rFont val="Tahoma"/>
            <family val="2"/>
          </rPr>
          <t>Candidate figures from Ballot Box Scotland</t>
        </r>
      </text>
    </comment>
    <comment ref="AB214" authorId="1" shapeId="0" xr:uid="{00000000-0006-0000-0100-000001000000}">
      <text>
        <r>
          <rPr>
            <sz val="8"/>
            <color indexed="81"/>
            <rFont val="Tahoma"/>
            <family val="2"/>
          </rPr>
          <t>Figures from Thrasher &amp; Rallings Local Elections in Britain which gives 17 but that gives wrong total number of councils. 13 fits with trend</t>
        </r>
        <r>
          <rPr>
            <sz val="8"/>
            <color indexed="81"/>
            <rFont val="Tahoma"/>
            <family val="2"/>
          </rPr>
          <t xml:space="preserve">
</t>
        </r>
      </text>
    </comment>
    <comment ref="V217" authorId="1" shapeId="0" xr:uid="{00000000-0006-0000-0100-000002000000}">
      <text>
        <r>
          <rPr>
            <sz val="8"/>
            <color indexed="81"/>
            <rFont val="Tahoma"/>
            <family val="2"/>
          </rPr>
          <t>Thrasher &amp; Rallings, Local Government Elections gives 12 but 120 fits trend</t>
        </r>
        <r>
          <rPr>
            <sz val="8"/>
            <color indexed="81"/>
            <rFont val="Tahoma"/>
            <family val="2"/>
          </rPr>
          <t xml:space="preserve">
</t>
        </r>
      </text>
    </comment>
    <comment ref="AB217" authorId="1" shapeId="0" xr:uid="{00000000-0006-0000-0100-000003000000}">
      <text>
        <r>
          <rPr>
            <sz val="8"/>
            <color indexed="81"/>
            <rFont val="Tahoma"/>
            <family val="2"/>
          </rPr>
          <t>Thrasher &amp; Rallings, Local Government Elections gives 971 but 97 fits trend</t>
        </r>
        <r>
          <rPr>
            <sz val="8"/>
            <color indexed="81"/>
            <rFont val="Tahoma"/>
            <family val="2"/>
          </rPr>
          <t xml:space="preserve">
</t>
        </r>
      </text>
    </comment>
    <comment ref="X254" authorId="1" shapeId="0" xr:uid="{00000000-0006-0000-0100-000004000000}">
      <text>
        <r>
          <rPr>
            <sz val="8"/>
            <color indexed="81"/>
            <rFont val="Tahoma"/>
            <family val="2"/>
          </rPr>
          <t>Figures from Thrasher &amp; Rallings Local Elections in Britain which gives 8 LD councils but 3 fits trend and gives right total</t>
        </r>
      </text>
    </comment>
  </commentList>
</comments>
</file>

<file path=xl/sharedStrings.xml><?xml version="1.0" encoding="utf-8"?>
<sst xmlns="http://schemas.openxmlformats.org/spreadsheetml/2006/main" count="611" uniqueCount="79">
  <si>
    <t>GE</t>
  </si>
  <si>
    <t>Con</t>
  </si>
  <si>
    <t>Lab</t>
  </si>
  <si>
    <t>LD</t>
  </si>
  <si>
    <t>Year</t>
  </si>
  <si>
    <t>SNP</t>
  </si>
  <si>
    <t>PC</t>
  </si>
  <si>
    <t>Green</t>
  </si>
  <si>
    <t>London local election results</t>
  </si>
  <si>
    <t>Government</t>
  </si>
  <si>
    <t>Labour</t>
  </si>
  <si>
    <t>Conservative</t>
  </si>
  <si>
    <t>Lib Dem</t>
  </si>
  <si>
    <t>Others</t>
  </si>
  <si>
    <t>Total</t>
  </si>
  <si>
    <t>Ind/Oth</t>
  </si>
  <si>
    <t>Nats</t>
  </si>
  <si>
    <t>London</t>
  </si>
  <si>
    <t>Mets</t>
  </si>
  <si>
    <t>Unitary</t>
  </si>
  <si>
    <t>Counties</t>
  </si>
  <si>
    <t>Districts</t>
  </si>
  <si>
    <t>Scotland</t>
  </si>
  <si>
    <t>Wales</t>
  </si>
  <si>
    <t>England</t>
  </si>
  <si>
    <t>Councillors after May</t>
  </si>
  <si>
    <t>Councils</t>
  </si>
  <si>
    <t>NOC</t>
  </si>
  <si>
    <t>Candidates</t>
  </si>
  <si>
    <t>(9494 given)</t>
  </si>
  <si>
    <t>(7757 given)</t>
  </si>
  <si>
    <t>(7278 given)</t>
  </si>
  <si>
    <t>(969 given)</t>
  </si>
  <si>
    <t>Only 1 other counted per ward</t>
  </si>
  <si>
    <t>?</t>
  </si>
  <si>
    <t>(Reported as 696)</t>
  </si>
  <si>
    <t>(Reported as 3760)</t>
  </si>
  <si>
    <t>Counties E+W</t>
  </si>
  <si>
    <t>District &amp; unitary</t>
  </si>
  <si>
    <t>Welsh districts</t>
  </si>
  <si>
    <t>District/unitary</t>
  </si>
  <si>
    <t>Coalition</t>
  </si>
  <si>
    <t>UKIP</t>
  </si>
  <si>
    <t>BNP</t>
  </si>
  <si>
    <t>Vote</t>
  </si>
  <si>
    <t>General election on same day?</t>
  </si>
  <si>
    <t>Seats</t>
  </si>
  <si>
    <t>Vote (TR)</t>
  </si>
  <si>
    <t>Vote (BBC)</t>
  </si>
  <si>
    <t>Seat changes and national vote shares at local elections</t>
  </si>
  <si>
    <t>Lib/All/Lib Dem</t>
  </si>
  <si>
    <t>Thrasher and Rallings predictions from council by-elections</t>
  </si>
  <si>
    <t>Votes</t>
  </si>
  <si>
    <t>Over/under cf TR prediction</t>
  </si>
  <si>
    <t>-100 / -200</t>
  </si>
  <si>
    <t>1,300 / 1,400</t>
  </si>
  <si>
    <t>LD relative contestation</t>
  </si>
  <si>
    <t>Mark Pack</t>
  </si>
  <si>
    <t>Mark.Pack@LibDemNewswire.com / www.MarkPack.org.uk</t>
  </si>
  <si>
    <t>It is usually updated each year, although some additional updates are made as extra data or corrections are added.</t>
  </si>
  <si>
    <t>Many people have helped over the years with this data answering all sorts of questions from me. Particular thanks for providing an exceptionally large number of answers go to Colin Rallings and Michael Thrasher.</t>
  </si>
  <si>
    <t>You are very welcome to use this data. I only ask two things in return - that if you spot any errors or omissions you let me know and that you credit the source of the data (including, if you make use of it online, a link back to https://www.markpack.org.uk/localbase-local-council-election-results-1973-today/). Thank you.</t>
  </si>
  <si>
    <t>Welcome to LocalBase, my database of local election results from Great Britain (excluding Northern Ireland).</t>
  </si>
  <si>
    <t>-</t>
  </si>
  <si>
    <t>Greens</t>
  </si>
  <si>
    <t>HoC projections (T+R)</t>
  </si>
  <si>
    <t>HoC projections (BBC)</t>
  </si>
  <si>
    <t>Poll rating in advance</t>
  </si>
  <si>
    <t>Over/under vs polls</t>
  </si>
  <si>
    <t>Reform</t>
  </si>
  <si>
    <t>Seats up</t>
  </si>
  <si>
    <t>for election</t>
  </si>
  <si>
    <t>Type</t>
  </si>
  <si>
    <t>Thrasher &amp; Rallings / HoC Research Papers</t>
  </si>
  <si>
    <t>% share</t>
  </si>
  <si>
    <t>UKIP/Reform</t>
  </si>
  <si>
    <t>C+L</t>
  </si>
  <si>
    <t>% cllrs</t>
  </si>
  <si>
    <t>Plus two vacant due to deferred 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</si>
</sst>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0"/>
      <name val="Arial"/>
    </font>
    <font>
      <sz val="10"/>
      <name val="Arial"/>
      <family val="2"/>
    </font>
    <font>
      <i/>
      <sz val="9"/>
      <name val="Arial"/>
      <family val="2"/>
    </font>
    <font>
      <b/>
      <sz val="14"/>
      <name val="Arial"/>
      <family val="2"/>
    </font>
    <font>
      <sz val="9"/>
      <name val="Arial"/>
      <family val="2"/>
    </font>
    <font>
      <sz val="12"/>
      <name val="Arial"/>
      <family val="2"/>
    </font>
    <font>
      <sz val="9.5"/>
      <color indexed="8"/>
      <name val="Berlin Sans FB"/>
      <family val="2"/>
    </font>
    <font>
      <sz val="8"/>
      <color indexed="81"/>
      <name val="Tahoma"/>
      <family val="2"/>
    </font>
    <font>
      <i/>
      <sz val="10"/>
      <name val="Arial"/>
      <family val="2"/>
    </font>
    <font>
      <sz val="8"/>
      <name val="Arial"/>
      <family val="2"/>
    </font>
    <font>
      <sz val="10"/>
      <name val="Arial"/>
      <family val="2"/>
    </font>
    <font>
      <b/>
      <sz val="10"/>
      <name val="Arial"/>
      <family val="2"/>
    </font>
    <font>
      <sz val="9"/>
      <color indexed="81"/>
      <name val="Tahoma"/>
      <family val="2"/>
    </font>
    <font>
      <b/>
      <sz val="9"/>
      <color indexed="81"/>
      <name val="Tahoma"/>
      <family val="2"/>
    </font>
    <font>
      <sz val="7"/>
      <name val="Arial"/>
      <family val="2"/>
    </font>
    <font>
      <b/>
      <sz val="10"/>
      <color indexed="8"/>
      <name val="Arial"/>
      <family val="2"/>
    </font>
    <font>
      <b/>
      <sz val="9"/>
      <name val="Arial"/>
      <family val="2"/>
    </font>
    <font>
      <i/>
      <sz val="9"/>
      <color rgb="FFFF0000"/>
      <name val="Arial"/>
      <family val="2"/>
    </font>
  </fonts>
  <fills count="16">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7" tint="0.39997558519241921"/>
        <bgColor indexed="64"/>
      </patternFill>
    </fill>
  </fills>
  <borders count="5">
    <border>
      <left/>
      <right/>
      <top/>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87">
    <xf numFmtId="0" fontId="0" fillId="0" borderId="0" xfId="0"/>
    <xf numFmtId="0" fontId="2" fillId="0" borderId="0" xfId="0" applyFont="1" applyAlignment="1">
      <alignment horizontal="left"/>
    </xf>
    <xf numFmtId="0" fontId="3" fillId="0" borderId="0" xfId="0" applyFont="1"/>
    <xf numFmtId="0" fontId="0" fillId="0" borderId="1" xfId="0" applyBorder="1"/>
    <xf numFmtId="0" fontId="5" fillId="0" borderId="0" xfId="0" applyFont="1"/>
    <xf numFmtId="0" fontId="6" fillId="0" borderId="2" xfId="0" applyFont="1" applyBorder="1" applyAlignment="1">
      <alignment vertical="top" wrapText="1"/>
    </xf>
    <xf numFmtId="0" fontId="6" fillId="0" borderId="3" xfId="0" applyFont="1" applyBorder="1" applyAlignment="1">
      <alignment vertical="top" wrapText="1"/>
    </xf>
    <xf numFmtId="164" fontId="6" fillId="0" borderId="3" xfId="0" applyNumberFormat="1" applyFont="1" applyBorder="1" applyAlignment="1">
      <alignment vertical="top" wrapText="1"/>
    </xf>
    <xf numFmtId="3" fontId="6" fillId="0" borderId="3" xfId="0" applyNumberFormat="1" applyFont="1" applyBorder="1" applyAlignment="1">
      <alignment vertical="top" wrapText="1"/>
    </xf>
    <xf numFmtId="0" fontId="1" fillId="0" borderId="0" xfId="0" applyFont="1"/>
    <xf numFmtId="0" fontId="8" fillId="0" borderId="0" xfId="0" applyFont="1"/>
    <xf numFmtId="165" fontId="0" fillId="3" borderId="0" xfId="1" applyNumberFormat="1" applyFont="1" applyFill="1"/>
    <xf numFmtId="0" fontId="4" fillId="0" borderId="0" xfId="0" applyFont="1" applyAlignment="1">
      <alignment horizontal="left"/>
    </xf>
    <xf numFmtId="0" fontId="10" fillId="0" borderId="0" xfId="0" applyFont="1"/>
    <xf numFmtId="0" fontId="4" fillId="0" borderId="0" xfId="0" quotePrefix="1" applyFont="1" applyAlignment="1">
      <alignment horizontal="left"/>
    </xf>
    <xf numFmtId="0" fontId="0" fillId="0" borderId="0" xfId="0" quotePrefix="1"/>
    <xf numFmtId="0" fontId="4" fillId="0" borderId="0" xfId="0" applyFont="1"/>
    <xf numFmtId="0" fontId="0" fillId="0" borderId="4" xfId="0" applyBorder="1"/>
    <xf numFmtId="0" fontId="0" fillId="2" borderId="0" xfId="0" applyFill="1"/>
    <xf numFmtId="3" fontId="0" fillId="0" borderId="0" xfId="0" applyNumberFormat="1"/>
    <xf numFmtId="3" fontId="8" fillId="0" borderId="0" xfId="0" applyNumberFormat="1" applyFont="1"/>
    <xf numFmtId="9" fontId="0" fillId="0" borderId="0" xfId="1" applyFont="1"/>
    <xf numFmtId="3" fontId="10" fillId="0" borderId="0" xfId="0" applyNumberFormat="1" applyFont="1"/>
    <xf numFmtId="0" fontId="9" fillId="0" borderId="0" xfId="0" quotePrefix="1" applyFont="1"/>
    <xf numFmtId="0" fontId="11" fillId="0" borderId="0" xfId="0" applyFont="1" applyAlignment="1">
      <alignment horizontal="center"/>
    </xf>
    <xf numFmtId="0" fontId="2" fillId="0" borderId="1" xfId="0" applyFont="1" applyBorder="1" applyAlignment="1">
      <alignment horizontal="center"/>
    </xf>
    <xf numFmtId="0" fontId="0" fillId="4" borderId="0" xfId="0" applyFill="1" applyAlignment="1">
      <alignment horizontal="center"/>
    </xf>
    <xf numFmtId="3" fontId="2" fillId="0" borderId="0" xfId="0" applyNumberFormat="1" applyFont="1" applyAlignment="1">
      <alignment horizontal="center"/>
    </xf>
    <xf numFmtId="3" fontId="4" fillId="0" borderId="0" xfId="0" applyNumberFormat="1" applyFont="1" applyAlignment="1">
      <alignment horizontal="center"/>
    </xf>
    <xf numFmtId="3" fontId="4" fillId="0" borderId="0" xfId="0" quotePrefix="1" applyNumberFormat="1" applyFont="1" applyAlignment="1">
      <alignment horizontal="center"/>
    </xf>
    <xf numFmtId="1" fontId="10" fillId="0" borderId="0" xfId="0" applyNumberFormat="1" applyFont="1" applyAlignment="1">
      <alignment horizontal="center"/>
    </xf>
    <xf numFmtId="1" fontId="0" fillId="0" borderId="0" xfId="0" applyNumberFormat="1" applyAlignment="1">
      <alignment horizontal="center"/>
    </xf>
    <xf numFmtId="0" fontId="4" fillId="0" borderId="1" xfId="0" applyFont="1" applyBorder="1" applyAlignment="1">
      <alignment horizontal="center"/>
    </xf>
    <xf numFmtId="0" fontId="11" fillId="6" borderId="0" xfId="0" applyFont="1" applyFill="1" applyAlignment="1">
      <alignment horizontal="center"/>
    </xf>
    <xf numFmtId="0" fontId="11" fillId="5" borderId="0" xfId="0" applyFont="1" applyFill="1" applyAlignment="1">
      <alignment horizontal="center"/>
    </xf>
    <xf numFmtId="0" fontId="11" fillId="7" borderId="0" xfId="0" applyFont="1" applyFill="1" applyAlignment="1">
      <alignment horizontal="center"/>
    </xf>
    <xf numFmtId="0" fontId="9" fillId="0" borderId="0" xfId="0" applyFont="1"/>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0" fillId="0" borderId="0" xfId="0" applyAlignment="1">
      <alignment wrapText="1"/>
    </xf>
    <xf numFmtId="0" fontId="10" fillId="0" borderId="0" xfId="0" applyFont="1" applyAlignment="1">
      <alignment wrapText="1"/>
    </xf>
    <xf numFmtId="0" fontId="0" fillId="0" borderId="0" xfId="0" applyAlignment="1">
      <alignment horizontal="center"/>
    </xf>
    <xf numFmtId="0" fontId="9" fillId="0" borderId="0" xfId="0" applyFont="1" applyAlignment="1">
      <alignment horizontal="center" wrapText="1"/>
    </xf>
    <xf numFmtId="0" fontId="0" fillId="0" borderId="0" xfId="0" quotePrefix="1" applyAlignment="1">
      <alignment horizontal="center"/>
    </xf>
    <xf numFmtId="9" fontId="6" fillId="0" borderId="3" xfId="1" applyFont="1" applyBorder="1" applyAlignment="1">
      <alignment vertical="top" wrapText="1"/>
    </xf>
    <xf numFmtId="0" fontId="4" fillId="0" borderId="0" xfId="0" applyFont="1" applyAlignment="1">
      <alignment horizontal="center"/>
    </xf>
    <xf numFmtId="1" fontId="1" fillId="0" borderId="0" xfId="0" applyNumberFormat="1" applyFont="1" applyAlignment="1">
      <alignment horizontal="center"/>
    </xf>
    <xf numFmtId="0" fontId="14" fillId="5" borderId="1" xfId="0" applyFont="1" applyFill="1" applyBorder="1" applyAlignment="1">
      <alignment horizontal="center" wrapText="1"/>
    </xf>
    <xf numFmtId="0" fontId="14" fillId="6" borderId="1" xfId="0" applyFont="1" applyFill="1" applyBorder="1" applyAlignment="1">
      <alignment horizontal="center" wrapText="1"/>
    </xf>
    <xf numFmtId="0" fontId="14" fillId="7" borderId="1" xfId="0" applyFont="1" applyFill="1" applyBorder="1" applyAlignment="1">
      <alignment horizontal="center" wrapText="1"/>
    </xf>
    <xf numFmtId="1" fontId="10" fillId="10" borderId="0" xfId="0" applyNumberFormat="1" applyFont="1" applyFill="1" applyAlignment="1">
      <alignment horizontal="center"/>
    </xf>
    <xf numFmtId="3" fontId="4" fillId="10" borderId="0" xfId="0" applyNumberFormat="1" applyFont="1" applyFill="1" applyAlignment="1">
      <alignment horizontal="center"/>
    </xf>
    <xf numFmtId="1" fontId="0" fillId="10" borderId="0" xfId="0" applyNumberFormat="1" applyFill="1" applyAlignment="1">
      <alignment horizontal="center"/>
    </xf>
    <xf numFmtId="1" fontId="1" fillId="10" borderId="0" xfId="0" applyNumberFormat="1" applyFont="1" applyFill="1" applyAlignment="1">
      <alignment horizontal="center"/>
    </xf>
    <xf numFmtId="0" fontId="11" fillId="11" borderId="0" xfId="0" applyFont="1" applyFill="1" applyAlignment="1">
      <alignment horizontal="center"/>
    </xf>
    <xf numFmtId="0" fontId="11" fillId="12" borderId="0" xfId="0" applyFont="1" applyFill="1" applyAlignment="1">
      <alignment horizontal="center"/>
    </xf>
    <xf numFmtId="0" fontId="11" fillId="13" borderId="0" xfId="0" applyFont="1" applyFill="1" applyAlignment="1">
      <alignment horizontal="center"/>
    </xf>
    <xf numFmtId="0" fontId="3" fillId="0" borderId="0" xfId="0" applyFont="1" applyAlignment="1">
      <alignment horizontal="left"/>
    </xf>
    <xf numFmtId="0" fontId="14" fillId="0" borderId="0" xfId="0" applyFont="1" applyAlignment="1">
      <alignment horizontal="left" wrapText="1"/>
    </xf>
    <xf numFmtId="0" fontId="14" fillId="0" borderId="1" xfId="0" applyFont="1" applyBorder="1" applyAlignment="1">
      <alignment horizontal="left" wrapText="1"/>
    </xf>
    <xf numFmtId="0" fontId="0" fillId="0" borderId="0" xfId="0" applyAlignment="1">
      <alignment horizontal="left"/>
    </xf>
    <xf numFmtId="3" fontId="0" fillId="0" borderId="0" xfId="0" applyNumberFormat="1" applyAlignment="1">
      <alignment horizontal="left"/>
    </xf>
    <xf numFmtId="9" fontId="4" fillId="0" borderId="0" xfId="1" applyFont="1" applyAlignment="1">
      <alignment horizontal="center"/>
    </xf>
    <xf numFmtId="0" fontId="11" fillId="8" borderId="0" xfId="0" applyFont="1" applyFill="1" applyAlignment="1">
      <alignment horizontal="center"/>
    </xf>
    <xf numFmtId="0" fontId="11" fillId="9" borderId="0" xfId="0" applyFont="1" applyFill="1" applyAlignment="1">
      <alignment horizontal="center"/>
    </xf>
    <xf numFmtId="3" fontId="1" fillId="0" borderId="0" xfId="0" applyNumberFormat="1" applyFont="1" applyAlignment="1">
      <alignment horizontal="left"/>
    </xf>
    <xf numFmtId="0" fontId="1" fillId="0" borderId="0" xfId="0" applyFont="1" applyAlignment="1">
      <alignment horizontal="left"/>
    </xf>
    <xf numFmtId="0" fontId="16" fillId="0" borderId="0" xfId="0" applyFont="1" applyAlignment="1">
      <alignment horizontal="center"/>
    </xf>
    <xf numFmtId="3" fontId="17" fillId="0" borderId="0" xfId="0" applyNumberFormat="1" applyFont="1" applyAlignment="1">
      <alignment horizontal="center"/>
    </xf>
    <xf numFmtId="3" fontId="0" fillId="0" borderId="4" xfId="0" applyNumberFormat="1" applyBorder="1"/>
    <xf numFmtId="3" fontId="8" fillId="11" borderId="0" xfId="0" applyNumberFormat="1" applyFont="1" applyFill="1"/>
    <xf numFmtId="0" fontId="11" fillId="14" borderId="0" xfId="0" applyFont="1" applyFill="1" applyAlignment="1">
      <alignment horizontal="center"/>
    </xf>
    <xf numFmtId="0" fontId="14" fillId="15" borderId="1" xfId="0" applyFont="1" applyFill="1" applyBorder="1" applyAlignment="1">
      <alignment horizontal="center" wrapText="1"/>
    </xf>
    <xf numFmtId="0" fontId="14" fillId="14" borderId="1" xfId="0" applyFont="1" applyFill="1" applyBorder="1" applyAlignment="1">
      <alignment horizontal="center" wrapText="1"/>
    </xf>
    <xf numFmtId="165" fontId="6" fillId="0" borderId="3" xfId="1" applyNumberFormat="1" applyFont="1" applyBorder="1" applyAlignment="1">
      <alignment vertical="top" wrapText="1"/>
    </xf>
    <xf numFmtId="0" fontId="11" fillId="0" borderId="0" xfId="0" applyFont="1" applyAlignment="1">
      <alignment horizontal="center"/>
    </xf>
    <xf numFmtId="0" fontId="0" fillId="0" borderId="0" xfId="0" applyAlignment="1">
      <alignment horizontal="center"/>
    </xf>
    <xf numFmtId="0" fontId="14" fillId="0" borderId="0" xfId="0" applyFont="1" applyAlignment="1">
      <alignment wrapText="1"/>
    </xf>
    <xf numFmtId="0" fontId="14" fillId="0" borderId="1" xfId="0" applyFont="1" applyBorder="1" applyAlignment="1">
      <alignment wrapText="1"/>
    </xf>
    <xf numFmtId="0" fontId="11" fillId="7" borderId="0" xfId="0" applyFont="1" applyFill="1" applyAlignment="1">
      <alignment horizontal="center"/>
    </xf>
    <xf numFmtId="0" fontId="11" fillId="5" borderId="0" xfId="0" applyFont="1" applyFill="1" applyAlignment="1">
      <alignment horizontal="center"/>
    </xf>
    <xf numFmtId="0" fontId="14" fillId="0" borderId="0" xfId="0" applyFont="1" applyAlignment="1">
      <alignment horizontal="center" wrapText="1"/>
    </xf>
    <xf numFmtId="0" fontId="14" fillId="0" borderId="1" xfId="0" applyFont="1" applyBorder="1" applyAlignment="1">
      <alignment horizontal="center" wrapText="1"/>
    </xf>
    <xf numFmtId="0" fontId="11" fillId="6" borderId="0" xfId="0" applyFont="1" applyFill="1" applyAlignment="1">
      <alignment horizontal="center"/>
    </xf>
    <xf numFmtId="0" fontId="11" fillId="8" borderId="0" xfId="0" applyFont="1" applyFill="1" applyAlignment="1">
      <alignment horizontal="center"/>
    </xf>
    <xf numFmtId="0" fontId="11" fillId="9" borderId="0" xfId="0" applyFont="1" applyFill="1" applyAlignment="1">
      <alignment horizontal="center"/>
    </xf>
    <xf numFmtId="0" fontId="9" fillId="0" borderId="0" xfId="0" applyFont="1" applyAlignment="1">
      <alignment horizontal="center" wrapText="1"/>
    </xf>
  </cellXfs>
  <cellStyles count="2">
    <cellStyle name="Normal" xfId="0" builtinId="0"/>
    <cellStyle name="Percent" xfId="1" builtinId="5"/>
  </cellStyles>
  <dxfs count="40">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color rgb="FFFF0000"/>
      </font>
    </dxf>
    <dxf>
      <font>
        <b val="0"/>
        <i val="0"/>
        <color theme="1"/>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
      <font>
        <b val="0"/>
        <i val="0"/>
        <color theme="1"/>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A6B1-6355-4698-AE2B-A15BBB179016}">
  <dimension ref="A1:A10"/>
  <sheetViews>
    <sheetView workbookViewId="0">
      <selection activeCell="A17" sqref="A17"/>
    </sheetView>
  </sheetViews>
  <sheetFormatPr defaultRowHeight="13.2" x14ac:dyDescent="0.25"/>
  <cols>
    <col min="1" max="1" width="109.88671875" style="39" customWidth="1"/>
  </cols>
  <sheetData>
    <row r="1" spans="1:1" x14ac:dyDescent="0.25">
      <c r="A1" s="40" t="s">
        <v>62</v>
      </c>
    </row>
    <row r="3" spans="1:1" x14ac:dyDescent="0.25">
      <c r="A3" s="39" t="s">
        <v>59</v>
      </c>
    </row>
    <row r="5" spans="1:1" ht="26.4" x14ac:dyDescent="0.25">
      <c r="A5" s="39" t="s">
        <v>60</v>
      </c>
    </row>
    <row r="7" spans="1:1" ht="39.6" x14ac:dyDescent="0.25">
      <c r="A7" s="40" t="s">
        <v>61</v>
      </c>
    </row>
    <row r="9" spans="1:1" x14ac:dyDescent="0.25">
      <c r="A9" s="39" t="s">
        <v>57</v>
      </c>
    </row>
    <row r="10" spans="1:1" x14ac:dyDescent="0.25">
      <c r="A10" s="39" t="s">
        <v>58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M66"/>
  <sheetViews>
    <sheetView tabSelected="1" zoomScale="70" zoomScaleNormal="70" workbookViewId="0">
      <pane xSplit="1" ySplit="5" topLeftCell="B18" activePane="bottomRight" state="frozen"/>
      <selection pane="topRight" activeCell="B1" sqref="B1"/>
      <selection pane="bottomLeft" activeCell="A6" sqref="A6"/>
      <selection pane="bottomRight" activeCell="I58" sqref="I58"/>
    </sheetView>
  </sheetViews>
  <sheetFormatPr defaultRowHeight="13.2" x14ac:dyDescent="0.25"/>
  <cols>
    <col min="1" max="1" width="9.33203125" bestFit="1" customWidth="1"/>
    <col min="3" max="3" width="8.88671875" style="60"/>
    <col min="4" max="4" width="9.33203125" bestFit="1" customWidth="1"/>
    <col min="5" max="5" width="9.33203125" customWidth="1"/>
    <col min="6" max="6" width="9.33203125" style="1" bestFit="1" customWidth="1"/>
    <col min="7" max="7" width="4.88671875" style="1" bestFit="1" customWidth="1"/>
    <col min="8" max="8" width="1.109375" style="1" customWidth="1"/>
    <col min="9" max="9" width="9.33203125" bestFit="1" customWidth="1"/>
    <col min="10" max="10" width="9.33203125" customWidth="1"/>
    <col min="11" max="11" width="9.33203125" style="1" bestFit="1" customWidth="1"/>
    <col min="12" max="12" width="4.88671875" style="1" bestFit="1" customWidth="1"/>
    <col min="13" max="13" width="1.109375" style="1" customWidth="1"/>
    <col min="14" max="14" width="4.88671875" style="1" bestFit="1" customWidth="1"/>
    <col min="15" max="15" width="1.109375" style="1" customWidth="1"/>
    <col min="16" max="16" width="9.33203125" bestFit="1" customWidth="1"/>
    <col min="17" max="17" width="9.33203125" customWidth="1"/>
    <col min="18" max="18" width="9.33203125" style="1" bestFit="1" customWidth="1"/>
    <col min="19" max="19" width="3.88671875" style="1" bestFit="1" customWidth="1"/>
    <col min="20" max="20" width="1.109375" style="1" customWidth="1"/>
    <col min="21" max="23" width="9.33203125" style="1" customWidth="1"/>
    <col min="24" max="24" width="4.33203125" style="1" bestFit="1" customWidth="1"/>
    <col min="25" max="25" width="1.109375" style="1" customWidth="1"/>
    <col min="26" max="27" width="9.33203125" style="1" customWidth="1"/>
    <col min="28" max="28" width="9.44140625" style="1" customWidth="1"/>
    <col min="29" max="29" width="3.5546875" style="1" bestFit="1" customWidth="1"/>
    <col min="30" max="30" width="1.109375" style="1" customWidth="1"/>
    <col min="31" max="31" width="9.33203125" style="1" bestFit="1" customWidth="1"/>
    <col min="32" max="32" width="9.44140625" style="1" bestFit="1" customWidth="1"/>
    <col min="33" max="33" width="9.44140625" style="1" customWidth="1"/>
    <col min="34" max="34" width="1.109375" style="1" customWidth="1"/>
    <col min="35" max="44" width="9.44140625" customWidth="1"/>
    <col min="45" max="45" width="1.109375" style="1" customWidth="1"/>
    <col min="46" max="46" width="9.44140625" customWidth="1"/>
    <col min="47" max="47" width="1.109375" style="1" customWidth="1"/>
    <col min="48" max="55" width="9.33203125" customWidth="1"/>
    <col min="56" max="56" width="1.109375" style="1" customWidth="1"/>
    <col min="57" max="61" width="9.33203125" customWidth="1"/>
    <col min="62" max="62" width="2.6640625" customWidth="1"/>
  </cols>
  <sheetData>
    <row r="1" spans="1:65" ht="17.399999999999999" x14ac:dyDescent="0.3">
      <c r="B1" s="2" t="s">
        <v>49</v>
      </c>
      <c r="C1" s="57"/>
    </row>
    <row r="3" spans="1:65" x14ac:dyDescent="0.25">
      <c r="B3" s="16"/>
      <c r="C3" s="12"/>
      <c r="D3" s="1"/>
      <c r="E3" s="1"/>
      <c r="F3"/>
      <c r="G3"/>
      <c r="H3"/>
      <c r="I3" s="1"/>
      <c r="J3" s="1"/>
      <c r="K3"/>
      <c r="L3"/>
      <c r="M3"/>
      <c r="N3"/>
      <c r="O3"/>
      <c r="P3" s="1"/>
      <c r="Q3" s="1"/>
      <c r="T3"/>
      <c r="Y3"/>
      <c r="Z3"/>
      <c r="AA3"/>
      <c r="AB3"/>
      <c r="AC3"/>
      <c r="AD3"/>
      <c r="AF3"/>
      <c r="AG3"/>
      <c r="AH3"/>
      <c r="AS3"/>
      <c r="AU3"/>
      <c r="AV3" s="75" t="s">
        <v>51</v>
      </c>
      <c r="AW3" s="75"/>
      <c r="AX3" s="75"/>
      <c r="AY3" s="76"/>
      <c r="AZ3" s="76"/>
      <c r="BA3" s="76"/>
      <c r="BB3" s="76"/>
      <c r="BC3" s="76"/>
      <c r="BD3"/>
      <c r="BE3" s="75" t="s">
        <v>65</v>
      </c>
      <c r="BF3" s="75"/>
      <c r="BG3" s="75"/>
      <c r="BH3" s="24"/>
      <c r="BI3" s="24"/>
      <c r="BK3" s="75" t="s">
        <v>66</v>
      </c>
      <c r="BL3" s="75"/>
      <c r="BM3" s="75"/>
    </row>
    <row r="4" spans="1:65" ht="19.95" customHeight="1" x14ac:dyDescent="0.25">
      <c r="B4" s="77" t="s">
        <v>45</v>
      </c>
      <c r="C4" s="58" t="s">
        <v>70</v>
      </c>
      <c r="D4" s="80" t="s">
        <v>11</v>
      </c>
      <c r="E4" s="80"/>
      <c r="F4" s="80"/>
      <c r="G4" s="34"/>
      <c r="H4" s="24"/>
      <c r="I4" s="83" t="s">
        <v>10</v>
      </c>
      <c r="J4" s="83"/>
      <c r="K4" s="83"/>
      <c r="L4" s="33"/>
      <c r="M4" s="24"/>
      <c r="N4" s="24" t="s">
        <v>76</v>
      </c>
      <c r="O4" s="24"/>
      <c r="P4" s="79" t="s">
        <v>50</v>
      </c>
      <c r="Q4" s="79"/>
      <c r="R4" s="79"/>
      <c r="S4" s="35"/>
      <c r="T4" s="24"/>
      <c r="U4" s="84" t="s">
        <v>75</v>
      </c>
      <c r="V4" s="84"/>
      <c r="W4" s="84"/>
      <c r="X4" s="63"/>
      <c r="Y4" s="24"/>
      <c r="Z4" s="85" t="s">
        <v>64</v>
      </c>
      <c r="AA4" s="85"/>
      <c r="AB4" s="85"/>
      <c r="AC4" s="64"/>
      <c r="AD4" s="24"/>
      <c r="AE4" s="54" t="s">
        <v>5</v>
      </c>
      <c r="AF4" s="55" t="s">
        <v>6</v>
      </c>
      <c r="AG4" s="56" t="s">
        <v>43</v>
      </c>
      <c r="AH4" s="24"/>
      <c r="AI4" s="75" t="s">
        <v>67</v>
      </c>
      <c r="AJ4" s="76"/>
      <c r="AK4" s="76"/>
      <c r="AL4" s="76"/>
      <c r="AM4" s="76"/>
      <c r="AN4" s="75" t="s">
        <v>68</v>
      </c>
      <c r="AO4" s="76"/>
      <c r="AP4" s="76"/>
      <c r="AQ4" s="76"/>
      <c r="AR4" s="76"/>
      <c r="AS4" s="24"/>
      <c r="AT4" s="81" t="s">
        <v>53</v>
      </c>
      <c r="AU4" s="24"/>
      <c r="AV4" s="80" t="s">
        <v>11</v>
      </c>
      <c r="AW4" s="80"/>
      <c r="AX4" s="83" t="s">
        <v>10</v>
      </c>
      <c r="AY4" s="76"/>
      <c r="AZ4" s="79" t="s">
        <v>12</v>
      </c>
      <c r="BA4" s="79"/>
      <c r="BB4" s="84" t="s">
        <v>42</v>
      </c>
      <c r="BC4" s="76"/>
      <c r="BD4" s="24"/>
      <c r="BE4" s="34" t="s">
        <v>1</v>
      </c>
      <c r="BF4" s="33" t="s">
        <v>2</v>
      </c>
      <c r="BG4" s="35" t="s">
        <v>12</v>
      </c>
      <c r="BH4" s="63" t="s">
        <v>69</v>
      </c>
      <c r="BI4" s="71" t="s">
        <v>64</v>
      </c>
      <c r="BK4" s="34" t="s">
        <v>1</v>
      </c>
      <c r="BL4" s="33" t="s">
        <v>2</v>
      </c>
      <c r="BM4" s="35" t="s">
        <v>12</v>
      </c>
    </row>
    <row r="5" spans="1:65" ht="13.8" thickBot="1" x14ac:dyDescent="0.3">
      <c r="A5" s="3" t="s">
        <v>4</v>
      </c>
      <c r="B5" s="78"/>
      <c r="C5" s="59" t="s">
        <v>71</v>
      </c>
      <c r="D5" s="32" t="s">
        <v>47</v>
      </c>
      <c r="E5" s="32" t="s">
        <v>48</v>
      </c>
      <c r="F5" s="32" t="s">
        <v>46</v>
      </c>
      <c r="G5" s="32"/>
      <c r="H5" s="32"/>
      <c r="I5" s="32" t="s">
        <v>47</v>
      </c>
      <c r="J5" s="32" t="s">
        <v>48</v>
      </c>
      <c r="K5" s="32" t="s">
        <v>46</v>
      </c>
      <c r="L5" s="32"/>
      <c r="M5" s="32"/>
      <c r="N5" s="32"/>
      <c r="O5" s="32"/>
      <c r="P5" s="32" t="s">
        <v>47</v>
      </c>
      <c r="Q5" s="32" t="s">
        <v>48</v>
      </c>
      <c r="R5" s="32" t="s">
        <v>46</v>
      </c>
      <c r="S5" s="32"/>
      <c r="T5" s="32"/>
      <c r="U5" s="32" t="s">
        <v>47</v>
      </c>
      <c r="V5" s="32" t="s">
        <v>48</v>
      </c>
      <c r="W5" s="32" t="s">
        <v>46</v>
      </c>
      <c r="X5" s="32"/>
      <c r="Y5" s="32"/>
      <c r="Z5" s="32" t="s">
        <v>47</v>
      </c>
      <c r="AA5" s="32" t="s">
        <v>48</v>
      </c>
      <c r="AB5" s="32" t="s">
        <v>46</v>
      </c>
      <c r="AC5" s="32"/>
      <c r="AD5" s="32"/>
      <c r="AE5" s="32" t="s">
        <v>46</v>
      </c>
      <c r="AF5" s="32" t="s">
        <v>46</v>
      </c>
      <c r="AG5" s="32" t="s">
        <v>46</v>
      </c>
      <c r="AH5" s="25"/>
      <c r="AI5" s="47" t="s">
        <v>1</v>
      </c>
      <c r="AJ5" s="48" t="s">
        <v>2</v>
      </c>
      <c r="AK5" s="49" t="s">
        <v>12</v>
      </c>
      <c r="AL5" s="72" t="s">
        <v>69</v>
      </c>
      <c r="AM5" s="73" t="s">
        <v>64</v>
      </c>
      <c r="AN5" s="47" t="s">
        <v>1</v>
      </c>
      <c r="AO5" s="48" t="s">
        <v>2</v>
      </c>
      <c r="AP5" s="49" t="s">
        <v>12</v>
      </c>
      <c r="AQ5" s="72" t="s">
        <v>69</v>
      </c>
      <c r="AR5" s="73" t="s">
        <v>64</v>
      </c>
      <c r="AS5" s="25"/>
      <c r="AT5" s="82"/>
      <c r="AU5" s="25"/>
      <c r="AV5" s="32" t="s">
        <v>52</v>
      </c>
      <c r="AW5" s="32" t="s">
        <v>46</v>
      </c>
      <c r="AX5" s="32" t="s">
        <v>52</v>
      </c>
      <c r="AY5" s="32" t="s">
        <v>46</v>
      </c>
      <c r="AZ5" s="32" t="s">
        <v>52</v>
      </c>
      <c r="BA5" s="32" t="s">
        <v>46</v>
      </c>
      <c r="BB5" s="32" t="s">
        <v>52</v>
      </c>
      <c r="BC5" s="32" t="s">
        <v>46</v>
      </c>
      <c r="BD5" s="25"/>
      <c r="BE5" s="3"/>
      <c r="BF5" s="3"/>
      <c r="BG5" s="3"/>
      <c r="BH5" s="3"/>
      <c r="BI5" s="3"/>
      <c r="BJ5" s="3"/>
    </row>
    <row r="6" spans="1:65" x14ac:dyDescent="0.25">
      <c r="A6">
        <v>1973</v>
      </c>
      <c r="AE6"/>
      <c r="AF6"/>
      <c r="AG6"/>
    </row>
    <row r="7" spans="1:65" x14ac:dyDescent="0.25">
      <c r="A7">
        <v>1974</v>
      </c>
      <c r="F7" s="27">
        <v>393</v>
      </c>
      <c r="G7" s="28"/>
      <c r="K7" s="27">
        <v>544</v>
      </c>
      <c r="L7" s="28"/>
      <c r="R7" s="27">
        <v>47</v>
      </c>
      <c r="S7" s="28"/>
      <c r="AE7"/>
      <c r="AF7"/>
      <c r="AG7"/>
    </row>
    <row r="8" spans="1:65" x14ac:dyDescent="0.25">
      <c r="A8">
        <v>1975</v>
      </c>
      <c r="F8" s="27">
        <v>199</v>
      </c>
      <c r="G8" s="28"/>
      <c r="K8" s="68">
        <v>-206</v>
      </c>
      <c r="L8" s="28"/>
      <c r="R8" s="68">
        <v>-10</v>
      </c>
      <c r="S8" s="28"/>
      <c r="AE8"/>
      <c r="AF8"/>
      <c r="AG8"/>
    </row>
    <row r="9" spans="1:65" x14ac:dyDescent="0.25">
      <c r="A9">
        <v>1976</v>
      </c>
      <c r="C9" s="61"/>
      <c r="D9" s="26">
        <v>52</v>
      </c>
      <c r="E9" s="26"/>
      <c r="F9" s="27">
        <v>1745</v>
      </c>
      <c r="G9" s="28"/>
      <c r="H9" s="27"/>
      <c r="I9" s="26">
        <v>40</v>
      </c>
      <c r="J9" s="26"/>
      <c r="K9" s="68">
        <v>-1309</v>
      </c>
      <c r="L9" s="28"/>
      <c r="M9" s="27"/>
      <c r="N9" s="27"/>
      <c r="O9" s="27"/>
      <c r="P9" s="26">
        <v>6</v>
      </c>
      <c r="Q9" s="26"/>
      <c r="R9" s="68">
        <v>-223</v>
      </c>
      <c r="S9" s="28"/>
      <c r="T9" s="27"/>
      <c r="Y9" s="27"/>
      <c r="Z9" s="27"/>
      <c r="AA9" s="27"/>
      <c r="AB9" s="27"/>
      <c r="AC9" s="27"/>
      <c r="AD9" s="27"/>
      <c r="AE9"/>
      <c r="AF9"/>
      <c r="AG9"/>
      <c r="AH9" s="27"/>
      <c r="AS9" s="27"/>
      <c r="AU9" s="27"/>
      <c r="BD9" s="27"/>
    </row>
    <row r="10" spans="1:65" x14ac:dyDescent="0.25">
      <c r="A10">
        <v>1977</v>
      </c>
      <c r="C10" s="61"/>
      <c r="D10" s="26">
        <v>57</v>
      </c>
      <c r="E10" s="26"/>
      <c r="F10" s="28">
        <v>1135</v>
      </c>
      <c r="G10" s="28"/>
      <c r="H10" s="27"/>
      <c r="I10" s="26">
        <v>31</v>
      </c>
      <c r="J10" s="26"/>
      <c r="K10" s="28">
        <v>-905</v>
      </c>
      <c r="L10" s="28"/>
      <c r="M10" s="27"/>
      <c r="N10" s="27"/>
      <c r="O10" s="27"/>
      <c r="P10" s="26">
        <v>7</v>
      </c>
      <c r="Q10" s="26"/>
      <c r="R10" s="28">
        <v>-166</v>
      </c>
      <c r="S10" s="28"/>
      <c r="T10" s="27"/>
      <c r="Y10" s="27"/>
      <c r="Z10" s="27"/>
      <c r="AA10" s="27"/>
      <c r="AB10" s="27"/>
      <c r="AC10" s="27"/>
      <c r="AD10" s="27"/>
      <c r="AE10"/>
      <c r="AF10"/>
      <c r="AG10"/>
      <c r="AH10" s="27"/>
      <c r="AS10" s="27"/>
      <c r="AU10" s="27"/>
      <c r="BD10" s="27"/>
    </row>
    <row r="11" spans="1:65" x14ac:dyDescent="0.25">
      <c r="A11">
        <v>1978</v>
      </c>
      <c r="C11" s="61"/>
      <c r="D11" s="26">
        <v>49</v>
      </c>
      <c r="E11" s="26"/>
      <c r="F11" s="27">
        <v>275</v>
      </c>
      <c r="G11" s="28"/>
      <c r="H11" s="27"/>
      <c r="I11" s="26">
        <v>37</v>
      </c>
      <c r="J11" s="26"/>
      <c r="K11" s="68">
        <v>-461</v>
      </c>
      <c r="L11" s="28"/>
      <c r="M11" s="27"/>
      <c r="N11" s="27"/>
      <c r="O11" s="27"/>
      <c r="P11" s="26">
        <v>10</v>
      </c>
      <c r="Q11" s="26"/>
      <c r="R11" s="68">
        <v>-163</v>
      </c>
      <c r="S11" s="28"/>
      <c r="T11" s="27"/>
      <c r="U11" s="12"/>
      <c r="V11" s="12"/>
      <c r="W11" s="12"/>
      <c r="X11" s="12"/>
      <c r="Y11" s="27"/>
      <c r="Z11" s="27"/>
      <c r="AA11" s="27"/>
      <c r="AB11" s="27"/>
      <c r="AC11" s="27"/>
      <c r="AD11" s="27"/>
      <c r="AE11" s="13"/>
      <c r="AF11" s="13"/>
      <c r="AG11" s="13"/>
      <c r="AH11" s="27"/>
      <c r="AI11" s="13"/>
      <c r="AJ11" s="13"/>
      <c r="AK11" s="13"/>
      <c r="AL11" s="13"/>
      <c r="AM11" s="13"/>
      <c r="AN11" s="13"/>
      <c r="AO11" s="13"/>
      <c r="AP11" s="13"/>
      <c r="AQ11" s="13"/>
      <c r="AR11" s="13"/>
      <c r="AS11" s="27"/>
      <c r="AT11" s="13"/>
      <c r="AU11" s="27"/>
      <c r="BD11" s="27"/>
      <c r="BE11" s="13"/>
      <c r="BF11" s="13"/>
      <c r="BG11" s="13"/>
      <c r="BH11" s="13"/>
      <c r="BI11" s="13"/>
      <c r="BJ11" s="13"/>
    </row>
    <row r="12" spans="1:65" x14ac:dyDescent="0.25">
      <c r="A12">
        <v>1979</v>
      </c>
      <c r="B12" t="s">
        <v>0</v>
      </c>
      <c r="C12" s="61"/>
      <c r="D12" s="26">
        <v>45</v>
      </c>
      <c r="E12" s="26"/>
      <c r="F12" s="68">
        <v>-423</v>
      </c>
      <c r="G12" s="28"/>
      <c r="H12" s="27"/>
      <c r="I12" s="26">
        <v>38</v>
      </c>
      <c r="J12" s="26"/>
      <c r="K12" s="68">
        <v>766</v>
      </c>
      <c r="L12" s="28"/>
      <c r="M12" s="27"/>
      <c r="N12" s="27"/>
      <c r="O12" s="27"/>
      <c r="P12" s="26">
        <v>14</v>
      </c>
      <c r="Q12" s="26"/>
      <c r="R12" s="27">
        <v>136</v>
      </c>
      <c r="S12" s="28"/>
      <c r="T12" s="27"/>
      <c r="U12" s="12"/>
      <c r="V12" s="12"/>
      <c r="W12" s="12"/>
      <c r="X12" s="12"/>
      <c r="Y12" s="27"/>
      <c r="Z12" s="27"/>
      <c r="AA12" s="27"/>
      <c r="AB12" s="27"/>
      <c r="AC12" s="27"/>
      <c r="AD12" s="27"/>
      <c r="AE12" s="12"/>
      <c r="AF12" s="12"/>
      <c r="AG12" s="12"/>
      <c r="AH12" s="27"/>
      <c r="AI12" s="12"/>
      <c r="AJ12" s="12"/>
      <c r="AK12" s="12"/>
      <c r="AL12" s="12"/>
      <c r="AM12" s="12"/>
      <c r="AN12" s="12"/>
      <c r="AO12" s="12"/>
      <c r="AP12" s="12"/>
      <c r="AQ12" s="12"/>
      <c r="AR12" s="12"/>
      <c r="AS12" s="27"/>
      <c r="AT12" s="12"/>
      <c r="AU12" s="27"/>
      <c r="BD12" s="27"/>
      <c r="BE12" s="12"/>
      <c r="BF12" s="12"/>
      <c r="BG12" s="12"/>
      <c r="BH12" s="12"/>
      <c r="BI12" s="12"/>
      <c r="BJ12" s="12"/>
    </row>
    <row r="13" spans="1:65" x14ac:dyDescent="0.25">
      <c r="A13">
        <v>1980</v>
      </c>
      <c r="C13" s="61"/>
      <c r="D13" s="26">
        <v>40</v>
      </c>
      <c r="E13" s="26"/>
      <c r="F13" s="68">
        <v>-484</v>
      </c>
      <c r="G13" s="28"/>
      <c r="H13" s="27"/>
      <c r="I13" s="26">
        <v>42</v>
      </c>
      <c r="J13" s="26"/>
      <c r="K13" s="27">
        <v>601</v>
      </c>
      <c r="L13" s="28"/>
      <c r="M13" s="27"/>
      <c r="N13" s="27"/>
      <c r="O13" s="27"/>
      <c r="P13" s="26">
        <v>13</v>
      </c>
      <c r="Q13" s="26"/>
      <c r="R13" s="27">
        <v>90</v>
      </c>
      <c r="S13" s="28"/>
      <c r="T13" s="27"/>
      <c r="U13" s="12"/>
      <c r="V13" s="12"/>
      <c r="W13" s="12"/>
      <c r="X13" s="12"/>
      <c r="Y13" s="27"/>
      <c r="Z13" s="27"/>
      <c r="AA13" s="27"/>
      <c r="AB13" s="27"/>
      <c r="AC13" s="27"/>
      <c r="AD13" s="27"/>
      <c r="AE13" s="12"/>
      <c r="AF13" s="12"/>
      <c r="AG13" s="12"/>
      <c r="AH13" s="27"/>
      <c r="AI13" s="12"/>
      <c r="AJ13" s="12"/>
      <c r="AK13" s="12"/>
      <c r="AL13" s="12"/>
      <c r="AM13" s="12"/>
      <c r="AN13" s="12"/>
      <c r="AO13" s="12"/>
      <c r="AP13" s="12"/>
      <c r="AQ13" s="12"/>
      <c r="AR13" s="12"/>
      <c r="AS13" s="27"/>
      <c r="AT13" s="12"/>
      <c r="AU13" s="27"/>
      <c r="BD13" s="27"/>
      <c r="BE13" s="12"/>
      <c r="BF13" s="12"/>
      <c r="BG13" s="12"/>
      <c r="BH13" s="12"/>
      <c r="BI13" s="12"/>
      <c r="BJ13" s="12"/>
    </row>
    <row r="14" spans="1:65" x14ac:dyDescent="0.25">
      <c r="A14">
        <v>1981</v>
      </c>
      <c r="C14" s="61"/>
      <c r="D14" s="26">
        <v>38</v>
      </c>
      <c r="E14" s="26"/>
      <c r="F14" s="68">
        <v>-1193</v>
      </c>
      <c r="G14" s="28"/>
      <c r="H14" s="27"/>
      <c r="I14" s="26">
        <v>41</v>
      </c>
      <c r="J14" s="26"/>
      <c r="K14" s="27">
        <v>988</v>
      </c>
      <c r="L14" s="28"/>
      <c r="M14" s="27"/>
      <c r="N14" s="27"/>
      <c r="O14" s="27"/>
      <c r="P14" s="26">
        <v>17</v>
      </c>
      <c r="Q14" s="26"/>
      <c r="R14" s="27">
        <v>306</v>
      </c>
      <c r="S14" s="28"/>
      <c r="T14" s="27"/>
      <c r="U14" s="12"/>
      <c r="V14" s="12"/>
      <c r="W14" s="12"/>
      <c r="X14" s="12"/>
      <c r="Y14" s="27"/>
      <c r="Z14" s="27"/>
      <c r="AA14" s="27"/>
      <c r="AB14" s="27"/>
      <c r="AC14" s="27"/>
      <c r="AD14" s="27"/>
      <c r="AE14" s="12"/>
      <c r="AF14" s="12"/>
      <c r="AG14" s="12"/>
      <c r="AH14" s="27"/>
      <c r="AI14" s="12"/>
      <c r="AJ14" s="12"/>
      <c r="AK14" s="12"/>
      <c r="AL14" s="12"/>
      <c r="AM14" s="12"/>
      <c r="AN14" s="12"/>
      <c r="AO14" s="12"/>
      <c r="AP14" s="12"/>
      <c r="AQ14" s="12"/>
      <c r="AR14" s="12"/>
      <c r="AS14" s="27"/>
      <c r="AT14" s="12"/>
      <c r="AU14" s="27"/>
      <c r="BD14" s="27"/>
      <c r="BE14" s="12"/>
      <c r="BF14" s="12"/>
      <c r="BG14" s="12"/>
      <c r="BH14" s="12"/>
      <c r="BI14" s="12"/>
      <c r="BJ14" s="12"/>
    </row>
    <row r="15" spans="1:65" x14ac:dyDescent="0.25">
      <c r="A15">
        <v>1982</v>
      </c>
      <c r="C15" s="61"/>
      <c r="D15" s="26">
        <v>40</v>
      </c>
      <c r="E15" s="26">
        <v>40</v>
      </c>
      <c r="F15" s="68">
        <v>-98</v>
      </c>
      <c r="G15" s="28"/>
      <c r="H15" s="27"/>
      <c r="I15" s="26">
        <v>29</v>
      </c>
      <c r="J15" s="26">
        <v>30.5</v>
      </c>
      <c r="K15" s="68">
        <v>-225</v>
      </c>
      <c r="L15" s="28"/>
      <c r="M15" s="27"/>
      <c r="N15" s="67">
        <f t="shared" ref="N15:N55" si="0">E15+J15</f>
        <v>70.5</v>
      </c>
      <c r="O15" s="27"/>
      <c r="P15" s="26">
        <v>27</v>
      </c>
      <c r="Q15" s="26">
        <v>26</v>
      </c>
      <c r="R15" s="27">
        <v>395</v>
      </c>
      <c r="S15" s="28"/>
      <c r="T15" s="27"/>
      <c r="U15" s="12"/>
      <c r="V15" s="12"/>
      <c r="W15" s="12"/>
      <c r="X15" s="12"/>
      <c r="Y15" s="27"/>
      <c r="Z15" s="27"/>
      <c r="AA15" s="27"/>
      <c r="AB15" s="27"/>
      <c r="AC15" s="27"/>
      <c r="AD15" s="27"/>
      <c r="AE15" s="12"/>
      <c r="AF15" s="12"/>
      <c r="AG15" s="12"/>
      <c r="AH15" s="27"/>
      <c r="AI15" s="50">
        <v>35.700000000000003</v>
      </c>
      <c r="AJ15" s="30">
        <v>31.2</v>
      </c>
      <c r="AK15" s="30">
        <v>31.6</v>
      </c>
      <c r="AL15" s="30"/>
      <c r="AM15" s="30"/>
      <c r="AN15" s="51">
        <f t="shared" ref="AN15:AN58" si="1">AVERAGE(D15:E15)-AI15</f>
        <v>4.2999999999999972</v>
      </c>
      <c r="AO15" s="28">
        <f t="shared" ref="AO15:AO58" si="2">AVERAGE(I15:J15)-AJ15</f>
        <v>-1.4499999999999993</v>
      </c>
      <c r="AP15" s="28">
        <f t="shared" ref="AP15:AP58" si="3">AVERAGE(P15:Q15)-AK15</f>
        <v>-5.1000000000000014</v>
      </c>
      <c r="AQ15" s="28"/>
      <c r="AR15" s="28"/>
      <c r="AS15" s="27"/>
      <c r="AT15" s="12"/>
      <c r="AU15" s="27"/>
      <c r="BD15" s="27"/>
      <c r="BE15" s="12"/>
      <c r="BF15" s="12"/>
      <c r="BG15" s="12"/>
      <c r="BH15" s="12"/>
      <c r="BI15" s="12"/>
      <c r="BJ15" s="12"/>
    </row>
    <row r="16" spans="1:65" x14ac:dyDescent="0.25">
      <c r="A16">
        <v>1983</v>
      </c>
      <c r="C16" s="61"/>
      <c r="D16" s="26">
        <v>39</v>
      </c>
      <c r="E16" s="26">
        <v>40.5</v>
      </c>
      <c r="F16" s="28">
        <v>128</v>
      </c>
      <c r="G16" s="28"/>
      <c r="H16" s="28"/>
      <c r="I16" s="26">
        <v>36</v>
      </c>
      <c r="J16" s="26">
        <v>34.5</v>
      </c>
      <c r="K16" s="28">
        <v>37</v>
      </c>
      <c r="L16" s="28"/>
      <c r="M16" s="28"/>
      <c r="N16" s="67">
        <f t="shared" si="0"/>
        <v>75</v>
      </c>
      <c r="O16" s="28"/>
      <c r="P16" s="26">
        <v>20</v>
      </c>
      <c r="Q16" s="26">
        <v>22</v>
      </c>
      <c r="R16" s="28">
        <v>110</v>
      </c>
      <c r="S16" s="28"/>
      <c r="T16" s="28"/>
      <c r="U16" s="12"/>
      <c r="V16" s="12"/>
      <c r="W16" s="12"/>
      <c r="X16" s="12"/>
      <c r="Y16" s="28"/>
      <c r="Z16" s="28"/>
      <c r="AA16" s="28"/>
      <c r="AB16" s="28"/>
      <c r="AC16" s="28"/>
      <c r="AD16" s="28"/>
      <c r="AE16" s="12"/>
      <c r="AF16" s="12"/>
      <c r="AG16" s="12"/>
      <c r="AH16" s="28"/>
      <c r="AI16" s="50">
        <v>44.3</v>
      </c>
      <c r="AJ16" s="30">
        <v>32.32</v>
      </c>
      <c r="AK16" s="30">
        <v>22.04</v>
      </c>
      <c r="AL16" s="30"/>
      <c r="AM16" s="30"/>
      <c r="AN16" s="51">
        <f t="shared" si="1"/>
        <v>-4.5499999999999972</v>
      </c>
      <c r="AO16" s="28">
        <f t="shared" si="2"/>
        <v>2.9299999999999997</v>
      </c>
      <c r="AP16" s="28">
        <f t="shared" si="3"/>
        <v>-1.0399999999999991</v>
      </c>
      <c r="AQ16" s="28"/>
      <c r="AR16" s="28"/>
      <c r="AS16" s="28"/>
      <c r="AT16" s="12"/>
      <c r="AU16" s="28"/>
      <c r="BD16" s="28"/>
      <c r="BE16" s="12"/>
      <c r="BF16" s="12"/>
      <c r="BG16" s="12"/>
      <c r="BH16" s="12"/>
      <c r="BI16" s="12"/>
      <c r="BJ16" s="12"/>
    </row>
    <row r="17" spans="1:62" x14ac:dyDescent="0.25">
      <c r="A17">
        <v>1984</v>
      </c>
      <c r="C17" s="61"/>
      <c r="D17" s="26">
        <v>38</v>
      </c>
      <c r="E17" s="26">
        <v>37</v>
      </c>
      <c r="F17" s="28">
        <v>-130</v>
      </c>
      <c r="G17" s="28"/>
      <c r="H17" s="28"/>
      <c r="I17" s="26">
        <v>37</v>
      </c>
      <c r="J17" s="26">
        <v>37.5</v>
      </c>
      <c r="K17" s="28">
        <v>43</v>
      </c>
      <c r="L17" s="28"/>
      <c r="M17" s="28"/>
      <c r="N17" s="67">
        <f t="shared" si="0"/>
        <v>74.5</v>
      </c>
      <c r="O17" s="28"/>
      <c r="P17" s="26">
        <v>21</v>
      </c>
      <c r="Q17" s="26">
        <v>22</v>
      </c>
      <c r="R17" s="28">
        <v>143</v>
      </c>
      <c r="S17" s="28"/>
      <c r="T17" s="28"/>
      <c r="U17" s="12"/>
      <c r="V17" s="12"/>
      <c r="W17" s="12"/>
      <c r="X17" s="12"/>
      <c r="Y17" s="28"/>
      <c r="Z17" s="28"/>
      <c r="AA17" s="28"/>
      <c r="AB17" s="28"/>
      <c r="AC17" s="28"/>
      <c r="AD17" s="28"/>
      <c r="AE17" s="12"/>
      <c r="AF17" s="12"/>
      <c r="AG17" s="12"/>
      <c r="AH17" s="28"/>
      <c r="AI17" s="50">
        <v>40.666666666666664</v>
      </c>
      <c r="AJ17" s="30">
        <v>37.35</v>
      </c>
      <c r="AK17" s="30">
        <v>20.3</v>
      </c>
      <c r="AL17" s="30"/>
      <c r="AM17" s="30"/>
      <c r="AN17" s="51">
        <f t="shared" si="1"/>
        <v>-3.1666666666666643</v>
      </c>
      <c r="AO17" s="28">
        <f t="shared" si="2"/>
        <v>-0.10000000000000142</v>
      </c>
      <c r="AP17" s="28">
        <f t="shared" si="3"/>
        <v>1.1999999999999993</v>
      </c>
      <c r="AQ17" s="28"/>
      <c r="AR17" s="28"/>
      <c r="AS17" s="28"/>
      <c r="AT17" s="29"/>
      <c r="AU17" s="28"/>
      <c r="BD17" s="28"/>
      <c r="BE17" s="12"/>
      <c r="BF17" s="12"/>
      <c r="BG17" s="12"/>
      <c r="BH17" s="12"/>
      <c r="BI17" s="12"/>
      <c r="BJ17" s="12"/>
    </row>
    <row r="18" spans="1:62" x14ac:dyDescent="0.25">
      <c r="A18">
        <v>1985</v>
      </c>
      <c r="C18" s="65"/>
      <c r="D18" s="26">
        <v>32</v>
      </c>
      <c r="E18" s="26">
        <v>32</v>
      </c>
      <c r="F18" s="28">
        <v>-55</v>
      </c>
      <c r="G18" s="28"/>
      <c r="H18" s="28"/>
      <c r="I18" s="26">
        <v>39</v>
      </c>
      <c r="J18" s="26">
        <v>37</v>
      </c>
      <c r="K18" s="28">
        <v>-32</v>
      </c>
      <c r="L18" s="28"/>
      <c r="M18" s="28"/>
      <c r="N18" s="67">
        <f t="shared" si="0"/>
        <v>69</v>
      </c>
      <c r="O18" s="28"/>
      <c r="P18" s="26">
        <v>26</v>
      </c>
      <c r="Q18" s="26">
        <v>27</v>
      </c>
      <c r="R18" s="28">
        <v>129</v>
      </c>
      <c r="S18" s="28"/>
      <c r="T18" s="28"/>
      <c r="U18" s="12"/>
      <c r="V18" s="12"/>
      <c r="W18" s="12"/>
      <c r="X18" s="12"/>
      <c r="Y18" s="28"/>
      <c r="Z18" s="28"/>
      <c r="AA18" s="28"/>
      <c r="AB18" s="28"/>
      <c r="AC18" s="28"/>
      <c r="AD18" s="28"/>
      <c r="AE18" s="12"/>
      <c r="AF18" s="12"/>
      <c r="AG18" s="12"/>
      <c r="AH18" s="28"/>
      <c r="AI18" s="50">
        <v>36.225000000000001</v>
      </c>
      <c r="AJ18" s="30">
        <v>37.375</v>
      </c>
      <c r="AK18" s="30">
        <v>24.85</v>
      </c>
      <c r="AL18" s="30"/>
      <c r="AM18" s="30"/>
      <c r="AN18" s="51">
        <f t="shared" si="1"/>
        <v>-4.2250000000000014</v>
      </c>
      <c r="AO18" s="28">
        <f t="shared" si="2"/>
        <v>0.625</v>
      </c>
      <c r="AP18" s="28">
        <f t="shared" si="3"/>
        <v>1.6499999999999986</v>
      </c>
      <c r="AQ18" s="28"/>
      <c r="AR18" s="28"/>
      <c r="AS18" s="28"/>
      <c r="AT18" s="29"/>
      <c r="AU18" s="28"/>
      <c r="BD18" s="28"/>
      <c r="BE18" s="12"/>
      <c r="BF18" s="12"/>
      <c r="BG18" s="12"/>
      <c r="BH18" s="12"/>
      <c r="BI18" s="12"/>
      <c r="BJ18" s="12"/>
    </row>
    <row r="19" spans="1:62" x14ac:dyDescent="0.25">
      <c r="A19">
        <v>1986</v>
      </c>
      <c r="C19" s="65"/>
      <c r="D19" s="26">
        <v>34</v>
      </c>
      <c r="E19" s="26">
        <v>34</v>
      </c>
      <c r="F19" s="29">
        <v>-687</v>
      </c>
      <c r="G19" s="29"/>
      <c r="H19" s="29"/>
      <c r="I19" s="26">
        <v>37</v>
      </c>
      <c r="J19" s="26">
        <v>37</v>
      </c>
      <c r="K19" s="29">
        <v>456</v>
      </c>
      <c r="L19" s="29"/>
      <c r="M19" s="29"/>
      <c r="N19" s="67">
        <f t="shared" si="0"/>
        <v>71</v>
      </c>
      <c r="O19" s="29"/>
      <c r="P19" s="26">
        <v>26</v>
      </c>
      <c r="Q19" s="26">
        <v>27</v>
      </c>
      <c r="R19" s="28">
        <v>286</v>
      </c>
      <c r="S19" s="28"/>
      <c r="T19" s="29"/>
      <c r="U19" s="12"/>
      <c r="V19" s="12"/>
      <c r="W19" s="12"/>
      <c r="X19" s="12"/>
      <c r="Y19" s="29"/>
      <c r="Z19" s="29"/>
      <c r="AA19" s="29"/>
      <c r="AB19" s="29"/>
      <c r="AC19" s="29"/>
      <c r="AD19" s="29"/>
      <c r="AE19" s="12"/>
      <c r="AF19" s="12"/>
      <c r="AG19" s="12"/>
      <c r="AH19" s="29"/>
      <c r="AI19" s="50">
        <v>31.875</v>
      </c>
      <c r="AJ19" s="30">
        <v>37.625</v>
      </c>
      <c r="AK19" s="30">
        <v>28.125</v>
      </c>
      <c r="AL19" s="30"/>
      <c r="AM19" s="30"/>
      <c r="AN19" s="51">
        <f t="shared" si="1"/>
        <v>2.125</v>
      </c>
      <c r="AO19" s="28">
        <f t="shared" si="2"/>
        <v>-0.625</v>
      </c>
      <c r="AP19" s="28">
        <f t="shared" si="3"/>
        <v>-1.625</v>
      </c>
      <c r="AQ19" s="28"/>
      <c r="AR19" s="28"/>
      <c r="AS19" s="29"/>
      <c r="AT19" s="29"/>
      <c r="AU19" s="29"/>
      <c r="BD19" s="29"/>
      <c r="BE19" s="45">
        <v>265</v>
      </c>
      <c r="BF19" s="45">
        <v>315</v>
      </c>
      <c r="BG19" s="45">
        <v>45</v>
      </c>
      <c r="BH19" s="45"/>
      <c r="BI19" s="45"/>
      <c r="BJ19" s="12"/>
    </row>
    <row r="20" spans="1:62" x14ac:dyDescent="0.25">
      <c r="A20">
        <v>1987</v>
      </c>
      <c r="C20" s="65"/>
      <c r="D20" s="26">
        <v>38</v>
      </c>
      <c r="E20" s="26">
        <v>40</v>
      </c>
      <c r="F20" s="28">
        <v>83</v>
      </c>
      <c r="G20" s="28"/>
      <c r="H20" s="28"/>
      <c r="I20" s="26">
        <v>32</v>
      </c>
      <c r="J20" s="26">
        <v>30.5</v>
      </c>
      <c r="K20" s="28">
        <v>-225</v>
      </c>
      <c r="L20" s="28"/>
      <c r="M20" s="28"/>
      <c r="N20" s="67">
        <f t="shared" si="0"/>
        <v>70.5</v>
      </c>
      <c r="O20" s="28"/>
      <c r="P20" s="26">
        <v>27</v>
      </c>
      <c r="Q20" s="26">
        <v>27</v>
      </c>
      <c r="R20" s="28">
        <v>461</v>
      </c>
      <c r="S20" s="28"/>
      <c r="T20" s="28"/>
      <c r="U20" s="12"/>
      <c r="V20" s="12"/>
      <c r="W20" s="12"/>
      <c r="X20" s="12"/>
      <c r="Y20" s="28"/>
      <c r="Z20" s="28"/>
      <c r="AA20" s="28"/>
      <c r="AB20" s="28"/>
      <c r="AC20" s="28"/>
      <c r="AD20" s="28"/>
      <c r="AE20" s="12"/>
      <c r="AF20" s="12"/>
      <c r="AG20" s="12"/>
      <c r="AH20" s="28"/>
      <c r="AI20" s="50">
        <v>40.807692307692307</v>
      </c>
      <c r="AJ20" s="30">
        <v>30.507692307692309</v>
      </c>
      <c r="AK20" s="30">
        <v>26.315384615384616</v>
      </c>
      <c r="AL20" s="30"/>
      <c r="AM20" s="30"/>
      <c r="AN20" s="51">
        <f t="shared" si="1"/>
        <v>-1.8076923076923066</v>
      </c>
      <c r="AO20" s="28">
        <f t="shared" si="2"/>
        <v>0.74230769230769056</v>
      </c>
      <c r="AP20" s="28">
        <f t="shared" si="3"/>
        <v>0.68461538461538396</v>
      </c>
      <c r="AQ20" s="28"/>
      <c r="AR20" s="28"/>
      <c r="AS20" s="28"/>
      <c r="AT20" s="29"/>
      <c r="AU20" s="28"/>
      <c r="BD20" s="28"/>
      <c r="BE20" s="12"/>
      <c r="BF20" s="12"/>
      <c r="BG20" s="12"/>
      <c r="BH20" s="12"/>
      <c r="BI20" s="12"/>
      <c r="BJ20" s="12"/>
    </row>
    <row r="21" spans="1:62" x14ac:dyDescent="0.25">
      <c r="A21">
        <v>1988</v>
      </c>
      <c r="C21" s="65"/>
      <c r="D21" s="26">
        <v>39</v>
      </c>
      <c r="E21" s="26">
        <v>40</v>
      </c>
      <c r="F21" s="28">
        <v>27</v>
      </c>
      <c r="G21" s="28"/>
      <c r="H21" s="28"/>
      <c r="I21" s="26">
        <v>38</v>
      </c>
      <c r="J21" s="26">
        <v>40</v>
      </c>
      <c r="K21" s="28">
        <v>80</v>
      </c>
      <c r="L21" s="28"/>
      <c r="M21" s="28"/>
      <c r="N21" s="67">
        <f t="shared" si="0"/>
        <v>80</v>
      </c>
      <c r="O21" s="28"/>
      <c r="P21" s="26">
        <v>18</v>
      </c>
      <c r="Q21" s="26">
        <v>18</v>
      </c>
      <c r="R21" s="28">
        <v>-65</v>
      </c>
      <c r="S21" s="28"/>
      <c r="T21" s="28"/>
      <c r="U21" s="12"/>
      <c r="V21" s="12"/>
      <c r="W21" s="12"/>
      <c r="X21" s="12"/>
      <c r="Y21" s="28"/>
      <c r="Z21" s="28"/>
      <c r="AA21" s="28"/>
      <c r="AB21" s="28"/>
      <c r="AC21" s="28"/>
      <c r="AD21" s="28"/>
      <c r="AE21" s="28">
        <v>45</v>
      </c>
      <c r="AF21" s="28"/>
      <c r="AG21" s="28"/>
      <c r="AH21" s="28"/>
      <c r="AI21" s="50">
        <v>43.3</v>
      </c>
      <c r="AJ21" s="30">
        <v>40.1</v>
      </c>
      <c r="AK21" s="30">
        <v>10</v>
      </c>
      <c r="AL21" s="30"/>
      <c r="AM21" s="30"/>
      <c r="AN21" s="51">
        <f t="shared" si="1"/>
        <v>-3.7999999999999972</v>
      </c>
      <c r="AO21" s="28">
        <f t="shared" si="2"/>
        <v>-1.1000000000000014</v>
      </c>
      <c r="AP21" s="28">
        <f t="shared" si="3"/>
        <v>8</v>
      </c>
      <c r="AQ21" s="28"/>
      <c r="AR21" s="28"/>
      <c r="AS21" s="28"/>
      <c r="AT21" s="29"/>
      <c r="AU21" s="28"/>
      <c r="BD21" s="28"/>
      <c r="BE21" s="12"/>
      <c r="BF21" s="12"/>
      <c r="BG21" s="12"/>
      <c r="BH21" s="12"/>
      <c r="BI21" s="12"/>
      <c r="BJ21" s="12"/>
    </row>
    <row r="22" spans="1:62" x14ac:dyDescent="0.25">
      <c r="A22">
        <v>1989</v>
      </c>
      <c r="C22" s="65"/>
      <c r="D22" s="26">
        <v>36</v>
      </c>
      <c r="E22" s="26">
        <v>38</v>
      </c>
      <c r="F22" s="28">
        <v>91</v>
      </c>
      <c r="G22" s="28"/>
      <c r="H22" s="28"/>
      <c r="I22" s="26">
        <v>42</v>
      </c>
      <c r="J22" s="26">
        <v>42</v>
      </c>
      <c r="K22" s="28">
        <v>51</v>
      </c>
      <c r="L22" s="28"/>
      <c r="M22" s="28"/>
      <c r="N22" s="67">
        <f t="shared" si="0"/>
        <v>80</v>
      </c>
      <c r="O22" s="28"/>
      <c r="P22" s="26">
        <v>19</v>
      </c>
      <c r="Q22" s="26">
        <v>18</v>
      </c>
      <c r="R22" s="28">
        <v>-112</v>
      </c>
      <c r="S22" s="28"/>
      <c r="T22" s="28"/>
      <c r="U22" s="12"/>
      <c r="V22" s="12"/>
      <c r="W22" s="12"/>
      <c r="X22" s="12"/>
      <c r="Y22" s="28"/>
      <c r="Z22" s="28"/>
      <c r="AA22" s="28"/>
      <c r="AB22" s="28">
        <v>-1</v>
      </c>
      <c r="AC22" s="28"/>
      <c r="AD22" s="28"/>
      <c r="AE22" s="28"/>
      <c r="AF22" s="28">
        <v>2</v>
      </c>
      <c r="AG22" s="28"/>
      <c r="AH22" s="28"/>
      <c r="AI22" s="50">
        <v>41.657142857142858</v>
      </c>
      <c r="AJ22" s="30">
        <v>38.699999999999996</v>
      </c>
      <c r="AK22" s="30">
        <v>9.0571428571428569</v>
      </c>
      <c r="AL22" s="30"/>
      <c r="AM22" s="30"/>
      <c r="AN22" s="51">
        <f t="shared" si="1"/>
        <v>-4.6571428571428584</v>
      </c>
      <c r="AO22" s="28">
        <f t="shared" si="2"/>
        <v>3.3000000000000043</v>
      </c>
      <c r="AP22" s="28">
        <f t="shared" si="3"/>
        <v>9.4428571428571431</v>
      </c>
      <c r="AQ22" s="28"/>
      <c r="AR22" s="28"/>
      <c r="AS22" s="28"/>
      <c r="AT22" s="29"/>
      <c r="AU22" s="28"/>
      <c r="BD22" s="28"/>
      <c r="BE22" s="12"/>
      <c r="BF22" s="12"/>
      <c r="BG22" s="12"/>
      <c r="BH22" s="12"/>
      <c r="BI22" s="12"/>
      <c r="BJ22" s="12"/>
    </row>
    <row r="23" spans="1:62" x14ac:dyDescent="0.25">
      <c r="A23">
        <v>1990</v>
      </c>
      <c r="C23" s="65"/>
      <c r="D23" s="26">
        <v>33</v>
      </c>
      <c r="E23" s="26">
        <v>32</v>
      </c>
      <c r="F23" s="28">
        <v>-163</v>
      </c>
      <c r="G23" s="28"/>
      <c r="H23" s="28"/>
      <c r="I23" s="26">
        <v>44</v>
      </c>
      <c r="J23" s="26">
        <v>40</v>
      </c>
      <c r="K23" s="28">
        <v>283</v>
      </c>
      <c r="L23" s="28"/>
      <c r="M23" s="28"/>
      <c r="N23" s="67">
        <f t="shared" si="0"/>
        <v>72</v>
      </c>
      <c r="O23" s="28"/>
      <c r="P23" s="26">
        <v>17</v>
      </c>
      <c r="Q23" s="26">
        <v>18</v>
      </c>
      <c r="R23" s="28">
        <v>-63</v>
      </c>
      <c r="S23" s="28"/>
      <c r="T23" s="28"/>
      <c r="U23" s="12"/>
      <c r="V23" s="12"/>
      <c r="W23" s="12"/>
      <c r="X23" s="12"/>
      <c r="Y23" s="28"/>
      <c r="Z23" s="28"/>
      <c r="AA23" s="28"/>
      <c r="AB23" s="28">
        <v>2</v>
      </c>
      <c r="AC23" s="28"/>
      <c r="AD23" s="28"/>
      <c r="AE23" s="28">
        <v>6</v>
      </c>
      <c r="AF23" s="28"/>
      <c r="AG23" s="28"/>
      <c r="AH23" s="28"/>
      <c r="AI23" s="50">
        <v>30.827272727272728</v>
      </c>
      <c r="AJ23" s="30">
        <v>52.527272727272724</v>
      </c>
      <c r="AK23" s="30">
        <v>6.463636363636363</v>
      </c>
      <c r="AL23" s="30"/>
      <c r="AM23" s="30"/>
      <c r="AN23" s="51">
        <f t="shared" si="1"/>
        <v>1.672727272727272</v>
      </c>
      <c r="AO23" s="28">
        <f t="shared" si="2"/>
        <v>-10.527272727272724</v>
      </c>
      <c r="AP23" s="28">
        <f t="shared" si="3"/>
        <v>11.036363636363637</v>
      </c>
      <c r="AQ23" s="28"/>
      <c r="AR23" s="28"/>
      <c r="AS23" s="28"/>
      <c r="AT23" s="29"/>
      <c r="AU23" s="28"/>
      <c r="BD23" s="28"/>
      <c r="BE23" s="12"/>
      <c r="BF23" s="12"/>
      <c r="BG23" s="12"/>
      <c r="BH23" s="12"/>
      <c r="BI23" s="12"/>
      <c r="BJ23" s="12"/>
    </row>
    <row r="24" spans="1:62" x14ac:dyDescent="0.25">
      <c r="A24">
        <v>1991</v>
      </c>
      <c r="C24" s="65">
        <f>827+10110+1367</f>
        <v>12304</v>
      </c>
      <c r="D24" s="26">
        <v>35</v>
      </c>
      <c r="E24" s="26">
        <v>35</v>
      </c>
      <c r="F24" s="28">
        <v>-869</v>
      </c>
      <c r="G24" s="62">
        <f t="shared" ref="G24:G32" si="4">F24/$C24</f>
        <v>-7.0627438231469442E-2</v>
      </c>
      <c r="H24" s="28"/>
      <c r="I24" s="26">
        <v>38</v>
      </c>
      <c r="J24" s="26">
        <v>36</v>
      </c>
      <c r="K24" s="28">
        <v>467</v>
      </c>
      <c r="L24" s="62">
        <f t="shared" ref="L24:L25" si="5">K24/$C24</f>
        <v>3.7955136540962289E-2</v>
      </c>
      <c r="M24" s="28"/>
      <c r="N24" s="67">
        <f t="shared" si="0"/>
        <v>71</v>
      </c>
      <c r="O24" s="28"/>
      <c r="P24" s="26">
        <v>22</v>
      </c>
      <c r="Q24" s="26">
        <v>21</v>
      </c>
      <c r="R24" s="28">
        <v>531</v>
      </c>
      <c r="S24" s="62">
        <f t="shared" ref="S24:S25" si="6">R24/$C24</f>
        <v>4.3156697009102733E-2</v>
      </c>
      <c r="T24" s="28"/>
      <c r="U24" s="12"/>
      <c r="V24" s="12"/>
      <c r="W24" s="12"/>
      <c r="X24" s="12"/>
      <c r="Y24" s="28"/>
      <c r="Z24" s="28"/>
      <c r="AA24" s="28"/>
      <c r="AB24" s="28">
        <v>7</v>
      </c>
      <c r="AC24" s="62">
        <f t="shared" ref="AC24" si="7">AB24/$C24</f>
        <v>5.6892067620286084E-4</v>
      </c>
      <c r="AD24" s="28"/>
      <c r="AE24" s="28"/>
      <c r="AF24" s="28">
        <v>22</v>
      </c>
      <c r="AG24" s="28"/>
      <c r="AH24" s="28"/>
      <c r="AI24" s="50">
        <v>40.949999999999996</v>
      </c>
      <c r="AJ24" s="30">
        <v>39.591666666666669</v>
      </c>
      <c r="AK24" s="30">
        <v>14.875</v>
      </c>
      <c r="AL24" s="30"/>
      <c r="AM24" s="30"/>
      <c r="AN24" s="51">
        <f t="shared" si="1"/>
        <v>-5.9499999999999957</v>
      </c>
      <c r="AO24" s="28">
        <f t="shared" si="2"/>
        <v>-2.5916666666666686</v>
      </c>
      <c r="AP24" s="28">
        <f t="shared" si="3"/>
        <v>6.625</v>
      </c>
      <c r="AQ24" s="28"/>
      <c r="AR24" s="28"/>
      <c r="AS24" s="28"/>
      <c r="AT24" s="29"/>
      <c r="AU24" s="28"/>
      <c r="BD24" s="28"/>
      <c r="BE24" s="45">
        <v>297</v>
      </c>
      <c r="BF24" s="45">
        <v>307</v>
      </c>
      <c r="BG24" s="45">
        <v>23</v>
      </c>
      <c r="BH24" s="45"/>
      <c r="BI24" s="45"/>
      <c r="BJ24" s="12"/>
    </row>
    <row r="25" spans="1:62" x14ac:dyDescent="0.25">
      <c r="A25">
        <v>1992</v>
      </c>
      <c r="C25" s="65">
        <f>827+1840</f>
        <v>2667</v>
      </c>
      <c r="D25" s="26">
        <v>46</v>
      </c>
      <c r="E25" s="26">
        <v>45</v>
      </c>
      <c r="F25" s="28">
        <v>264</v>
      </c>
      <c r="G25" s="62">
        <f t="shared" si="4"/>
        <v>9.8987626546681667E-2</v>
      </c>
      <c r="H25" s="28"/>
      <c r="I25" s="26">
        <v>30</v>
      </c>
      <c r="J25" s="26">
        <v>30</v>
      </c>
      <c r="K25" s="28">
        <v>-288</v>
      </c>
      <c r="L25" s="62">
        <f t="shared" si="5"/>
        <v>-0.10798650168728909</v>
      </c>
      <c r="M25" s="28"/>
      <c r="N25" s="67">
        <f t="shared" si="0"/>
        <v>75</v>
      </c>
      <c r="O25" s="28"/>
      <c r="P25" s="26">
        <v>20</v>
      </c>
      <c r="Q25" s="26">
        <v>19</v>
      </c>
      <c r="R25" s="28">
        <v>57</v>
      </c>
      <c r="S25" s="62">
        <f t="shared" si="6"/>
        <v>2.1372328458942633E-2</v>
      </c>
      <c r="T25" s="28"/>
      <c r="U25" s="12"/>
      <c r="V25" s="12"/>
      <c r="W25" s="12"/>
      <c r="X25" s="12"/>
      <c r="Y25" s="28"/>
      <c r="Z25" s="28"/>
      <c r="AA25" s="28"/>
      <c r="AB25" s="28">
        <v>-2</v>
      </c>
      <c r="AC25" s="62">
        <f t="shared" ref="AC25" si="8">AB25/$C25</f>
        <v>-7.4990626171728538E-4</v>
      </c>
      <c r="AD25" s="28"/>
      <c r="AE25" s="28">
        <v>30</v>
      </c>
      <c r="AF25" s="28">
        <v>3</v>
      </c>
      <c r="AG25" s="28"/>
      <c r="AH25" s="28"/>
      <c r="AI25" s="50">
        <v>41.416666666666664</v>
      </c>
      <c r="AJ25" s="30">
        <v>37.333333333333336</v>
      </c>
      <c r="AK25" s="30">
        <v>17.416666666666668</v>
      </c>
      <c r="AL25" s="30"/>
      <c r="AM25" s="30"/>
      <c r="AN25" s="51">
        <f t="shared" si="1"/>
        <v>4.0833333333333357</v>
      </c>
      <c r="AO25" s="28">
        <f t="shared" si="2"/>
        <v>-7.3333333333333357</v>
      </c>
      <c r="AP25" s="28">
        <f t="shared" si="3"/>
        <v>2.0833333333333321</v>
      </c>
      <c r="AQ25" s="28"/>
      <c r="AR25" s="28"/>
      <c r="AS25" s="28"/>
      <c r="AT25" s="29"/>
      <c r="AU25" s="28"/>
      <c r="BD25" s="28"/>
      <c r="BE25" s="45"/>
      <c r="BF25" s="45"/>
      <c r="BG25" s="45"/>
      <c r="BH25" s="45"/>
      <c r="BI25" s="45"/>
      <c r="BJ25" s="12"/>
    </row>
    <row r="26" spans="1:62" x14ac:dyDescent="0.25">
      <c r="A26">
        <v>1993</v>
      </c>
      <c r="C26" s="65">
        <f>2998+502</f>
        <v>3500</v>
      </c>
      <c r="D26" s="26">
        <v>31</v>
      </c>
      <c r="E26" s="26">
        <v>30</v>
      </c>
      <c r="F26" s="28">
        <v>-468</v>
      </c>
      <c r="G26" s="62">
        <f t="shared" si="4"/>
        <v>-0.1337142857142857</v>
      </c>
      <c r="H26" s="28"/>
      <c r="I26" s="26">
        <v>39</v>
      </c>
      <c r="J26" s="26">
        <v>40</v>
      </c>
      <c r="K26" s="28">
        <v>101</v>
      </c>
      <c r="L26" s="62">
        <f t="shared" ref="L26" si="9">K26/$C26</f>
        <v>2.8857142857142856E-2</v>
      </c>
      <c r="M26" s="28"/>
      <c r="N26" s="67">
        <f t="shared" si="0"/>
        <v>70</v>
      </c>
      <c r="O26" s="28"/>
      <c r="P26" s="26">
        <v>25</v>
      </c>
      <c r="Q26" s="26">
        <v>25</v>
      </c>
      <c r="R26" s="28">
        <v>371</v>
      </c>
      <c r="S26" s="62">
        <f t="shared" ref="S26" si="10">R26/$C26</f>
        <v>0.106</v>
      </c>
      <c r="T26" s="28"/>
      <c r="U26" s="12"/>
      <c r="V26" s="12"/>
      <c r="W26" s="12"/>
      <c r="X26" s="12"/>
      <c r="Y26" s="28"/>
      <c r="Z26" s="28"/>
      <c r="AA26" s="28"/>
      <c r="AB26" s="28">
        <v>1</v>
      </c>
      <c r="AC26" s="62">
        <f t="shared" ref="AC26" si="11">AB26/$C26</f>
        <v>2.8571428571428574E-4</v>
      </c>
      <c r="AD26" s="28"/>
      <c r="AE26" s="28"/>
      <c r="AF26" s="28">
        <v>14</v>
      </c>
      <c r="AG26" s="28"/>
      <c r="AH26" s="28"/>
      <c r="AI26" s="50">
        <v>31.725000000000001</v>
      </c>
      <c r="AJ26" s="30">
        <v>46.6</v>
      </c>
      <c r="AK26" s="30">
        <v>17.125</v>
      </c>
      <c r="AL26" s="30"/>
      <c r="AM26" s="30"/>
      <c r="AN26" s="51">
        <f t="shared" si="1"/>
        <v>-1.2250000000000014</v>
      </c>
      <c r="AO26" s="28">
        <f t="shared" si="2"/>
        <v>-7.1000000000000014</v>
      </c>
      <c r="AP26" s="28">
        <f t="shared" si="3"/>
        <v>7.875</v>
      </c>
      <c r="AQ26" s="28"/>
      <c r="AR26" s="28"/>
      <c r="AS26" s="28"/>
      <c r="AT26" s="29"/>
      <c r="AU26" s="28"/>
      <c r="BD26" s="28"/>
      <c r="BE26" s="45"/>
      <c r="BF26" s="45"/>
      <c r="BG26" s="45"/>
      <c r="BH26" s="45"/>
      <c r="BI26" s="45"/>
      <c r="BJ26" s="12"/>
    </row>
    <row r="27" spans="1:62" x14ac:dyDescent="0.25">
      <c r="A27">
        <v>1994</v>
      </c>
      <c r="C27" s="61">
        <v>4581</v>
      </c>
      <c r="D27" s="26">
        <v>28</v>
      </c>
      <c r="E27" s="26">
        <v>27</v>
      </c>
      <c r="F27" s="28">
        <v>-463</v>
      </c>
      <c r="G27" s="62">
        <f t="shared" si="4"/>
        <v>-0.10106963545077494</v>
      </c>
      <c r="H27" s="28"/>
      <c r="I27" s="26">
        <v>40</v>
      </c>
      <c r="J27" s="26">
        <v>42</v>
      </c>
      <c r="K27" s="28">
        <v>113</v>
      </c>
      <c r="L27" s="62">
        <f t="shared" ref="L27:L32" si="12">K27/$C27</f>
        <v>2.466710325256494E-2</v>
      </c>
      <c r="M27" s="28"/>
      <c r="N27" s="67">
        <f t="shared" si="0"/>
        <v>69</v>
      </c>
      <c r="O27" s="28"/>
      <c r="P27" s="26">
        <v>27</v>
      </c>
      <c r="Q27" s="26">
        <v>27</v>
      </c>
      <c r="R27" s="28">
        <v>383</v>
      </c>
      <c r="S27" s="62">
        <f t="shared" ref="S27:S32" si="13">R27/$C27</f>
        <v>8.3606199519755509E-2</v>
      </c>
      <c r="T27" s="28"/>
      <c r="U27" s="12"/>
      <c r="V27" s="12"/>
      <c r="W27" s="12"/>
      <c r="X27" s="12"/>
      <c r="Y27" s="28"/>
      <c r="Z27" s="28"/>
      <c r="AA27" s="28"/>
      <c r="AB27" s="28">
        <v>-2</v>
      </c>
      <c r="AC27" s="62">
        <f t="shared" ref="AC27" si="14">AB27/$C27</f>
        <v>-4.365858982754857E-4</v>
      </c>
      <c r="AD27" s="28"/>
      <c r="AE27" s="28">
        <v>19</v>
      </c>
      <c r="AF27" s="28"/>
      <c r="AG27" s="28"/>
      <c r="AH27" s="28"/>
      <c r="AI27" s="50">
        <v>26.68</v>
      </c>
      <c r="AJ27" s="30">
        <v>47.06</v>
      </c>
      <c r="AK27" s="30">
        <v>22.06</v>
      </c>
      <c r="AL27" s="30"/>
      <c r="AM27" s="30"/>
      <c r="AN27" s="51">
        <f t="shared" si="1"/>
        <v>0.82000000000000028</v>
      </c>
      <c r="AO27" s="28">
        <f t="shared" si="2"/>
        <v>-6.0600000000000023</v>
      </c>
      <c r="AP27" s="28">
        <f t="shared" si="3"/>
        <v>4.9400000000000013</v>
      </c>
      <c r="AQ27" s="28"/>
      <c r="AR27" s="28"/>
      <c r="AS27" s="28"/>
      <c r="AT27" s="29"/>
      <c r="AU27" s="28"/>
      <c r="BD27" s="28"/>
      <c r="BE27" s="45"/>
      <c r="BF27" s="45"/>
      <c r="BG27" s="45"/>
      <c r="BH27" s="45"/>
      <c r="BI27" s="45"/>
      <c r="BJ27" s="12"/>
    </row>
    <row r="28" spans="1:62" x14ac:dyDescent="0.25">
      <c r="A28">
        <v>1995</v>
      </c>
      <c r="C28" s="61">
        <f>842+10013+1161+1272</f>
        <v>13288</v>
      </c>
      <c r="D28" s="26">
        <v>25</v>
      </c>
      <c r="E28" s="26">
        <v>25</v>
      </c>
      <c r="F28" s="28">
        <v>-1956</v>
      </c>
      <c r="G28" s="62">
        <f t="shared" si="4"/>
        <v>-0.14720048163756774</v>
      </c>
      <c r="H28" s="28"/>
      <c r="I28" s="26">
        <v>47</v>
      </c>
      <c r="J28" s="26">
        <v>46</v>
      </c>
      <c r="K28" s="28">
        <v>1661</v>
      </c>
      <c r="L28" s="62">
        <f t="shared" si="12"/>
        <v>0.125</v>
      </c>
      <c r="M28" s="28"/>
      <c r="N28" s="67">
        <f t="shared" si="0"/>
        <v>71</v>
      </c>
      <c r="O28" s="28"/>
      <c r="P28" s="26">
        <v>23</v>
      </c>
      <c r="Q28" s="26">
        <v>24</v>
      </c>
      <c r="R28" s="28">
        <v>483</v>
      </c>
      <c r="S28" s="62">
        <f t="shared" si="13"/>
        <v>3.6348585189644796E-2</v>
      </c>
      <c r="T28" s="28"/>
      <c r="U28" s="12"/>
      <c r="V28" s="12"/>
      <c r="W28" s="12"/>
      <c r="X28" s="12"/>
      <c r="Y28" s="28"/>
      <c r="Z28" s="28"/>
      <c r="AA28" s="28"/>
      <c r="AB28" s="28">
        <v>5</v>
      </c>
      <c r="AC28" s="62">
        <f t="shared" ref="AC28" si="15">AB28/$C28</f>
        <v>3.7627934978928356E-4</v>
      </c>
      <c r="AD28" s="28"/>
      <c r="AE28" s="28"/>
      <c r="AF28" s="28">
        <v>11</v>
      </c>
      <c r="AG28" s="28"/>
      <c r="AH28" s="28"/>
      <c r="AI28" s="50">
        <v>24.833333333333332</v>
      </c>
      <c r="AJ28" s="30">
        <v>54.733333333333327</v>
      </c>
      <c r="AK28" s="30">
        <v>16.099999999999998</v>
      </c>
      <c r="AL28" s="30"/>
      <c r="AM28" s="30"/>
      <c r="AN28" s="51">
        <f t="shared" si="1"/>
        <v>0.16666666666666785</v>
      </c>
      <c r="AO28" s="28">
        <f t="shared" si="2"/>
        <v>-8.2333333333333272</v>
      </c>
      <c r="AP28" s="28">
        <f t="shared" si="3"/>
        <v>7.4000000000000021</v>
      </c>
      <c r="AQ28" s="28"/>
      <c r="AR28" s="28"/>
      <c r="AS28" s="28"/>
      <c r="AT28" s="29"/>
      <c r="AU28" s="28"/>
      <c r="BD28" s="28"/>
      <c r="BE28" s="45"/>
      <c r="BF28" s="45"/>
      <c r="BG28" s="45"/>
      <c r="BH28" s="45"/>
      <c r="BI28" s="45"/>
      <c r="BJ28" s="12"/>
    </row>
    <row r="29" spans="1:62" x14ac:dyDescent="0.25">
      <c r="A29">
        <v>1996</v>
      </c>
      <c r="C29" s="61">
        <f>836+1528+658</f>
        <v>3022</v>
      </c>
      <c r="D29" s="26">
        <v>29</v>
      </c>
      <c r="E29" s="26">
        <v>27</v>
      </c>
      <c r="F29" s="28">
        <v>-577</v>
      </c>
      <c r="G29" s="62">
        <f t="shared" si="4"/>
        <v>-0.19093315684976836</v>
      </c>
      <c r="H29" s="28"/>
      <c r="I29" s="26">
        <v>43</v>
      </c>
      <c r="J29" s="26">
        <v>43</v>
      </c>
      <c r="K29" s="28">
        <v>466</v>
      </c>
      <c r="L29" s="62">
        <f t="shared" si="12"/>
        <v>0.15420251489080081</v>
      </c>
      <c r="M29" s="28"/>
      <c r="N29" s="67">
        <f t="shared" si="0"/>
        <v>70</v>
      </c>
      <c r="O29" s="28"/>
      <c r="P29" s="26">
        <v>24</v>
      </c>
      <c r="Q29" s="26">
        <v>26</v>
      </c>
      <c r="R29" s="28">
        <v>150</v>
      </c>
      <c r="S29" s="62">
        <f t="shared" si="13"/>
        <v>4.9636002647253472E-2</v>
      </c>
      <c r="T29" s="28"/>
      <c r="U29" s="12"/>
      <c r="V29" s="12"/>
      <c r="W29" s="12"/>
      <c r="X29" s="12"/>
      <c r="Y29" s="28"/>
      <c r="Z29" s="28"/>
      <c r="AA29" s="28"/>
      <c r="AB29" s="28"/>
      <c r="AC29" s="28"/>
      <c r="AD29" s="28"/>
      <c r="AE29" s="28"/>
      <c r="AF29" s="28"/>
      <c r="AG29" s="28"/>
      <c r="AH29" s="28"/>
      <c r="AI29" s="50">
        <v>27.76</v>
      </c>
      <c r="AJ29" s="30">
        <v>53.239999999999995</v>
      </c>
      <c r="AK29" s="30">
        <v>14.459999999999999</v>
      </c>
      <c r="AL29" s="30"/>
      <c r="AM29" s="30"/>
      <c r="AN29" s="51">
        <f t="shared" si="1"/>
        <v>0.23999999999999844</v>
      </c>
      <c r="AO29" s="28">
        <f t="shared" si="2"/>
        <v>-10.239999999999995</v>
      </c>
      <c r="AP29" s="28">
        <f t="shared" si="3"/>
        <v>10.540000000000001</v>
      </c>
      <c r="AQ29" s="28"/>
      <c r="AR29" s="28"/>
      <c r="AS29" s="28"/>
      <c r="AT29" s="29"/>
      <c r="AU29" s="28"/>
      <c r="BD29" s="28"/>
      <c r="BE29" s="45"/>
      <c r="BF29" s="45"/>
      <c r="BG29" s="45"/>
      <c r="BH29" s="45"/>
      <c r="BI29" s="45"/>
      <c r="BJ29" s="12"/>
    </row>
    <row r="30" spans="1:62" x14ac:dyDescent="0.25">
      <c r="A30">
        <v>1997</v>
      </c>
      <c r="B30" t="s">
        <v>0</v>
      </c>
      <c r="C30" s="61">
        <f>2203+1044</f>
        <v>3247</v>
      </c>
      <c r="D30" s="26">
        <v>30</v>
      </c>
      <c r="E30" s="26">
        <v>29</v>
      </c>
      <c r="F30" s="28">
        <v>193</v>
      </c>
      <c r="G30" s="62">
        <f t="shared" si="4"/>
        <v>5.9439482599322455E-2</v>
      </c>
      <c r="H30" s="28"/>
      <c r="I30" s="26">
        <v>41</v>
      </c>
      <c r="J30" s="26">
        <v>40</v>
      </c>
      <c r="K30" s="28">
        <v>1</v>
      </c>
      <c r="L30" s="62">
        <f t="shared" si="12"/>
        <v>3.0797659377887281E-4</v>
      </c>
      <c r="M30" s="28"/>
      <c r="N30" s="67">
        <f t="shared" si="0"/>
        <v>69</v>
      </c>
      <c r="O30" s="28"/>
      <c r="P30" s="26">
        <v>24</v>
      </c>
      <c r="Q30" s="26">
        <v>26</v>
      </c>
      <c r="R30" s="28">
        <v>-177</v>
      </c>
      <c r="S30" s="62">
        <f t="shared" si="13"/>
        <v>-5.4511857098860486E-2</v>
      </c>
      <c r="T30" s="28"/>
      <c r="U30" s="12"/>
      <c r="V30" s="12"/>
      <c r="W30" s="12"/>
      <c r="X30" s="12"/>
      <c r="Y30" s="28"/>
      <c r="Z30" s="28"/>
      <c r="AA30" s="28"/>
      <c r="AB30" s="28"/>
      <c r="AC30" s="28"/>
      <c r="AD30" s="28"/>
      <c r="AE30" s="28"/>
      <c r="AF30" s="28"/>
      <c r="AG30" s="28"/>
      <c r="AH30" s="28"/>
      <c r="AI30" s="50">
        <v>30.910714285714285</v>
      </c>
      <c r="AJ30" s="30">
        <v>49.321428571428569</v>
      </c>
      <c r="AK30" s="30">
        <v>13.421428571428573</v>
      </c>
      <c r="AL30" s="30"/>
      <c r="AM30" s="30"/>
      <c r="AN30" s="51">
        <f t="shared" si="1"/>
        <v>-1.4107142857142847</v>
      </c>
      <c r="AO30" s="28">
        <f t="shared" si="2"/>
        <v>-8.8214285714285694</v>
      </c>
      <c r="AP30" s="28">
        <f t="shared" si="3"/>
        <v>11.578571428571427</v>
      </c>
      <c r="AQ30" s="28"/>
      <c r="AR30" s="28"/>
      <c r="AS30" s="28"/>
      <c r="AT30" s="29"/>
      <c r="AU30" s="28"/>
      <c r="BD30" s="28"/>
      <c r="BE30" s="45"/>
      <c r="BF30" s="45"/>
      <c r="BG30" s="45"/>
      <c r="BH30" s="45"/>
      <c r="BI30" s="45"/>
      <c r="BJ30" s="12"/>
    </row>
    <row r="31" spans="1:62" x14ac:dyDescent="0.25">
      <c r="A31">
        <v>1998</v>
      </c>
      <c r="C31" s="61">
        <v>4344</v>
      </c>
      <c r="D31" s="26">
        <v>33</v>
      </c>
      <c r="E31" s="26">
        <v>33</v>
      </c>
      <c r="F31" s="28">
        <v>259</v>
      </c>
      <c r="G31" s="62">
        <f t="shared" si="4"/>
        <v>5.9622467771639043E-2</v>
      </c>
      <c r="H31" s="28"/>
      <c r="I31" s="26">
        <v>37</v>
      </c>
      <c r="J31" s="26">
        <v>37</v>
      </c>
      <c r="K31" s="28">
        <v>-88</v>
      </c>
      <c r="L31" s="62">
        <f t="shared" si="12"/>
        <v>-2.0257826887661142E-2</v>
      </c>
      <c r="M31" s="28"/>
      <c r="N31" s="67">
        <f t="shared" si="0"/>
        <v>70</v>
      </c>
      <c r="O31" s="28"/>
      <c r="P31" s="26">
        <v>25</v>
      </c>
      <c r="Q31" s="26">
        <v>25</v>
      </c>
      <c r="R31" s="28">
        <v>-114</v>
      </c>
      <c r="S31" s="62">
        <f t="shared" si="13"/>
        <v>-2.6243093922651933E-2</v>
      </c>
      <c r="T31" s="28"/>
      <c r="U31" s="12"/>
      <c r="V31" s="12"/>
      <c r="W31" s="12"/>
      <c r="X31" s="12"/>
      <c r="Y31" s="28"/>
      <c r="Z31" s="28"/>
      <c r="AA31" s="28"/>
      <c r="AB31" s="28"/>
      <c r="AC31" s="28"/>
      <c r="AD31" s="28"/>
      <c r="AE31" s="28"/>
      <c r="AF31" s="28"/>
      <c r="AG31" s="28"/>
      <c r="AH31" s="28"/>
      <c r="AI31" s="30">
        <v>28.083333333333332</v>
      </c>
      <c r="AJ31" s="50">
        <v>52.800000000000004</v>
      </c>
      <c r="AK31" s="30">
        <v>15.049999999999999</v>
      </c>
      <c r="AN31" s="28">
        <f t="shared" si="1"/>
        <v>4.9166666666666679</v>
      </c>
      <c r="AO31" s="51">
        <f t="shared" si="2"/>
        <v>-15.800000000000004</v>
      </c>
      <c r="AP31" s="28">
        <f t="shared" si="3"/>
        <v>9.9500000000000011</v>
      </c>
      <c r="AQ31" s="28"/>
      <c r="AR31" s="28"/>
      <c r="AS31" s="28"/>
      <c r="AT31" s="29"/>
      <c r="AU31" s="28"/>
      <c r="BD31" s="28"/>
      <c r="BE31" s="45"/>
      <c r="BF31" s="45"/>
      <c r="BG31" s="45"/>
      <c r="BH31" s="45"/>
      <c r="BI31" s="45"/>
      <c r="BJ31" s="12"/>
    </row>
    <row r="32" spans="1:62" x14ac:dyDescent="0.25">
      <c r="A32">
        <v>1999</v>
      </c>
      <c r="C32" s="61">
        <v>13301</v>
      </c>
      <c r="D32" s="26">
        <v>34</v>
      </c>
      <c r="E32" s="26">
        <v>33</v>
      </c>
      <c r="F32" s="28">
        <v>1293</v>
      </c>
      <c r="G32" s="62">
        <f t="shared" si="4"/>
        <v>9.7210736034884601E-2</v>
      </c>
      <c r="H32" s="28"/>
      <c r="I32" s="26">
        <v>36</v>
      </c>
      <c r="J32" s="26">
        <v>36</v>
      </c>
      <c r="K32" s="28">
        <v>-967</v>
      </c>
      <c r="L32" s="62">
        <f t="shared" si="12"/>
        <v>-7.2701300654086157E-2</v>
      </c>
      <c r="M32" s="28"/>
      <c r="N32" s="67">
        <f t="shared" si="0"/>
        <v>69</v>
      </c>
      <c r="O32" s="28"/>
      <c r="P32" s="26">
        <v>25</v>
      </c>
      <c r="Q32" s="26">
        <v>27</v>
      </c>
      <c r="R32" s="28">
        <v>-119</v>
      </c>
      <c r="S32" s="62">
        <f t="shared" si="13"/>
        <v>-8.9466957371626202E-3</v>
      </c>
      <c r="T32" s="28"/>
      <c r="U32" s="12"/>
      <c r="V32" s="12"/>
      <c r="W32" s="12"/>
      <c r="X32" s="12"/>
      <c r="Y32" s="28"/>
      <c r="Z32" s="28"/>
      <c r="AA32" s="28"/>
      <c r="AB32" s="28"/>
      <c r="AC32" s="28"/>
      <c r="AD32" s="28"/>
      <c r="AE32" s="28"/>
      <c r="AF32" s="28"/>
      <c r="AG32" s="28"/>
      <c r="AH32" s="28"/>
      <c r="AI32" s="30">
        <v>27.683333333333334</v>
      </c>
      <c r="AJ32" s="50">
        <v>53.066666666666663</v>
      </c>
      <c r="AK32" s="30">
        <v>13.483333333333334</v>
      </c>
      <c r="AN32" s="28">
        <f t="shared" si="1"/>
        <v>5.8166666666666664</v>
      </c>
      <c r="AO32" s="51">
        <f t="shared" si="2"/>
        <v>-17.066666666666663</v>
      </c>
      <c r="AP32" s="28">
        <f t="shared" si="3"/>
        <v>12.516666666666666</v>
      </c>
      <c r="AQ32" s="28"/>
      <c r="AR32" s="28"/>
      <c r="AS32" s="28"/>
      <c r="AT32" s="29"/>
      <c r="AU32" s="28"/>
      <c r="AW32" s="29" t="s">
        <v>55</v>
      </c>
      <c r="BA32" s="29" t="s">
        <v>54</v>
      </c>
      <c r="BB32" s="23"/>
      <c r="BC32" s="23"/>
      <c r="BD32" s="28"/>
      <c r="BE32" s="45"/>
      <c r="BF32" s="45"/>
      <c r="BG32" s="45"/>
      <c r="BH32" s="45"/>
      <c r="BI32" s="45"/>
      <c r="BJ32" s="12"/>
    </row>
    <row r="33" spans="1:62" x14ac:dyDescent="0.25">
      <c r="A33">
        <v>2000</v>
      </c>
      <c r="C33" s="61">
        <v>3374</v>
      </c>
      <c r="D33" s="26">
        <v>38</v>
      </c>
      <c r="E33" s="26">
        <v>38</v>
      </c>
      <c r="F33" s="28">
        <v>594</v>
      </c>
      <c r="G33" s="62">
        <f t="shared" ref="G33:G39" si="16">F33/$C33</f>
        <v>0.17605216360403084</v>
      </c>
      <c r="H33" s="28"/>
      <c r="I33" s="26">
        <v>30</v>
      </c>
      <c r="J33" s="26">
        <v>29</v>
      </c>
      <c r="K33" s="28">
        <v>-568</v>
      </c>
      <c r="L33" s="62">
        <f t="shared" ref="L33:L39" si="17">K33/$C33</f>
        <v>-0.16834617664493184</v>
      </c>
      <c r="M33" s="28"/>
      <c r="N33" s="67">
        <f t="shared" si="0"/>
        <v>67</v>
      </c>
      <c r="O33" s="28"/>
      <c r="P33" s="26">
        <v>26</v>
      </c>
      <c r="Q33" s="26">
        <v>28</v>
      </c>
      <c r="R33" s="28">
        <v>-21</v>
      </c>
      <c r="S33" s="62">
        <f t="shared" ref="S33:S39" si="18">R33/$C33</f>
        <v>-6.2240663900414933E-3</v>
      </c>
      <c r="T33" s="28"/>
      <c r="U33" s="12"/>
      <c r="V33" s="12"/>
      <c r="W33" s="12"/>
      <c r="X33" s="12"/>
      <c r="Y33" s="28"/>
      <c r="Z33" s="28"/>
      <c r="AA33" s="28"/>
      <c r="AB33" s="28"/>
      <c r="AC33" s="28"/>
      <c r="AD33" s="28"/>
      <c r="AE33" s="28"/>
      <c r="AF33" s="28"/>
      <c r="AG33" s="28"/>
      <c r="AH33" s="28"/>
      <c r="AI33" s="30">
        <v>30.35</v>
      </c>
      <c r="AJ33" s="50">
        <v>48.875</v>
      </c>
      <c r="AK33" s="30">
        <v>13.775</v>
      </c>
      <c r="AN33" s="28">
        <f t="shared" si="1"/>
        <v>7.6499999999999986</v>
      </c>
      <c r="AO33" s="51">
        <f t="shared" si="2"/>
        <v>-19.375</v>
      </c>
      <c r="AP33" s="28">
        <f t="shared" si="3"/>
        <v>13.225</v>
      </c>
      <c r="AQ33" s="28"/>
      <c r="AR33" s="28"/>
      <c r="AS33" s="28"/>
      <c r="AT33" s="29"/>
      <c r="AU33" s="28"/>
      <c r="AW33" s="28"/>
      <c r="BD33" s="28"/>
      <c r="BE33" s="45"/>
      <c r="BF33" s="45"/>
      <c r="BG33" s="45"/>
      <c r="BH33" s="45"/>
      <c r="BI33" s="45"/>
      <c r="BJ33" s="12"/>
    </row>
    <row r="34" spans="1:62" x14ac:dyDescent="0.25">
      <c r="A34">
        <v>2001</v>
      </c>
      <c r="B34" t="s">
        <v>0</v>
      </c>
      <c r="C34" s="61">
        <v>2483</v>
      </c>
      <c r="D34" s="26">
        <v>31</v>
      </c>
      <c r="E34" s="26">
        <v>31</v>
      </c>
      <c r="F34" s="28">
        <v>150</v>
      </c>
      <c r="G34" s="62">
        <f t="shared" si="16"/>
        <v>6.0410793395086586E-2</v>
      </c>
      <c r="H34" s="28"/>
      <c r="I34" s="26">
        <v>39</v>
      </c>
      <c r="J34" s="26">
        <v>38</v>
      </c>
      <c r="K34" s="28">
        <v>-26</v>
      </c>
      <c r="L34" s="62">
        <f t="shared" si="17"/>
        <v>-1.0471204188481676E-2</v>
      </c>
      <c r="M34" s="28"/>
      <c r="N34" s="67">
        <f t="shared" si="0"/>
        <v>69</v>
      </c>
      <c r="O34" s="28"/>
      <c r="P34" s="26">
        <v>25</v>
      </c>
      <c r="Q34" s="26">
        <v>26</v>
      </c>
      <c r="R34" s="28">
        <v>-92</v>
      </c>
      <c r="S34" s="62">
        <f t="shared" si="18"/>
        <v>-3.7051953282319777E-2</v>
      </c>
      <c r="T34" s="28"/>
      <c r="U34" s="12"/>
      <c r="V34" s="12"/>
      <c r="W34" s="12"/>
      <c r="X34" s="12"/>
      <c r="Y34" s="28"/>
      <c r="Z34" s="28"/>
      <c r="AA34" s="28"/>
      <c r="AB34" s="28"/>
      <c r="AC34" s="28"/>
      <c r="AD34" s="28"/>
      <c r="AE34" s="28"/>
      <c r="AF34" s="28"/>
      <c r="AG34" s="28"/>
      <c r="AH34" s="28"/>
      <c r="AI34" s="30">
        <v>30.851851851851851</v>
      </c>
      <c r="AJ34" s="50">
        <v>48.444444444444443</v>
      </c>
      <c r="AK34" s="30">
        <v>14.592592592592593</v>
      </c>
      <c r="AN34" s="28">
        <f t="shared" si="1"/>
        <v>0.14814814814814881</v>
      </c>
      <c r="AO34" s="51">
        <f t="shared" si="2"/>
        <v>-9.9444444444444429</v>
      </c>
      <c r="AP34" s="28">
        <f t="shared" si="3"/>
        <v>10.907407407407407</v>
      </c>
      <c r="AQ34" s="28"/>
      <c r="AR34" s="28"/>
      <c r="AS34" s="28"/>
      <c r="AT34" s="29"/>
      <c r="AU34" s="28"/>
      <c r="AW34" s="28"/>
      <c r="BD34" s="28"/>
      <c r="BE34" s="45"/>
      <c r="BF34" s="45"/>
      <c r="BG34" s="45"/>
      <c r="BH34" s="45"/>
      <c r="BI34" s="45"/>
      <c r="BJ34" s="12"/>
    </row>
    <row r="35" spans="1:62" x14ac:dyDescent="0.25">
      <c r="A35">
        <v>2002</v>
      </c>
      <c r="C35" s="61">
        <v>5914</v>
      </c>
      <c r="D35" s="26">
        <v>34</v>
      </c>
      <c r="E35" s="26">
        <v>35</v>
      </c>
      <c r="F35" s="28">
        <v>238</v>
      </c>
      <c r="G35" s="62">
        <f t="shared" si="16"/>
        <v>4.024349002367264E-2</v>
      </c>
      <c r="H35" s="28"/>
      <c r="I35" s="26">
        <v>33</v>
      </c>
      <c r="J35" s="26">
        <v>32</v>
      </c>
      <c r="K35" s="28">
        <v>-339</v>
      </c>
      <c r="L35" s="62">
        <f t="shared" si="17"/>
        <v>-5.7321609739600946E-2</v>
      </c>
      <c r="M35" s="28"/>
      <c r="N35" s="67">
        <f t="shared" si="0"/>
        <v>67</v>
      </c>
      <c r="O35" s="28"/>
      <c r="P35" s="26">
        <v>25</v>
      </c>
      <c r="Q35" s="26">
        <v>27</v>
      </c>
      <c r="R35" s="28">
        <v>44</v>
      </c>
      <c r="S35" s="62">
        <f t="shared" si="18"/>
        <v>7.4399729455529254E-3</v>
      </c>
      <c r="T35" s="28"/>
      <c r="U35" s="12"/>
      <c r="V35" s="12"/>
      <c r="W35" s="12"/>
      <c r="X35" s="12"/>
      <c r="Y35" s="28"/>
      <c r="Z35" s="28"/>
      <c r="AA35" s="28"/>
      <c r="AB35" s="28"/>
      <c r="AC35" s="28"/>
      <c r="AD35" s="28"/>
      <c r="AE35" s="28"/>
      <c r="AF35" s="28"/>
      <c r="AG35" s="28"/>
      <c r="AH35" s="28"/>
      <c r="AI35" s="30">
        <v>30</v>
      </c>
      <c r="AJ35" s="50">
        <v>46</v>
      </c>
      <c r="AK35" s="30">
        <v>17.25</v>
      </c>
      <c r="AN35" s="28">
        <f t="shared" si="1"/>
        <v>4.5</v>
      </c>
      <c r="AO35" s="51">
        <f t="shared" si="2"/>
        <v>-13.5</v>
      </c>
      <c r="AP35" s="28">
        <f t="shared" si="3"/>
        <v>8.75</v>
      </c>
      <c r="AQ35" s="28"/>
      <c r="AR35" s="28"/>
      <c r="AS35" s="28"/>
      <c r="AT35" s="29"/>
      <c r="AU35" s="28"/>
      <c r="AW35" s="28"/>
      <c r="BD35" s="28"/>
      <c r="BE35" s="45"/>
      <c r="BF35" s="45"/>
      <c r="BG35" s="45"/>
      <c r="BH35" s="45"/>
      <c r="BI35" s="45"/>
      <c r="BJ35" s="12"/>
    </row>
    <row r="36" spans="1:62" x14ac:dyDescent="0.25">
      <c r="A36">
        <v>2003</v>
      </c>
      <c r="C36" s="61">
        <v>11649</v>
      </c>
      <c r="D36" s="26">
        <v>35</v>
      </c>
      <c r="E36" s="26">
        <v>35</v>
      </c>
      <c r="F36" s="28">
        <v>652</v>
      </c>
      <c r="G36" s="62">
        <f t="shared" si="16"/>
        <v>5.5970469568203278E-2</v>
      </c>
      <c r="H36" s="28"/>
      <c r="I36" s="26">
        <v>30</v>
      </c>
      <c r="J36" s="26">
        <v>30</v>
      </c>
      <c r="K36" s="28">
        <v>-793</v>
      </c>
      <c r="L36" s="62">
        <f t="shared" si="17"/>
        <v>-6.8074512833719639E-2</v>
      </c>
      <c r="M36" s="28"/>
      <c r="N36" s="67">
        <f t="shared" si="0"/>
        <v>65</v>
      </c>
      <c r="O36" s="28"/>
      <c r="P36" s="26">
        <v>27</v>
      </c>
      <c r="Q36" s="26">
        <v>29</v>
      </c>
      <c r="R36" s="28">
        <v>138</v>
      </c>
      <c r="S36" s="62">
        <f t="shared" si="18"/>
        <v>1.1846510430079836E-2</v>
      </c>
      <c r="T36" s="28"/>
      <c r="U36" s="12"/>
      <c r="V36" s="12"/>
      <c r="W36" s="12"/>
      <c r="X36" s="12"/>
      <c r="Y36" s="28"/>
      <c r="Z36" s="28"/>
      <c r="AA36" s="28"/>
      <c r="AB36" s="28">
        <v>9</v>
      </c>
      <c r="AC36" s="62">
        <f t="shared" ref="AC36" si="19">AB36/$C36</f>
        <v>7.7259850630955449E-4</v>
      </c>
      <c r="AD36" s="28"/>
      <c r="AE36" s="28">
        <v>-21</v>
      </c>
      <c r="AF36" s="28"/>
      <c r="AG36" s="28"/>
      <c r="AH36" s="28"/>
      <c r="AI36" s="30">
        <v>30.6</v>
      </c>
      <c r="AJ36" s="50">
        <v>41.4</v>
      </c>
      <c r="AK36" s="30">
        <v>20.6</v>
      </c>
      <c r="AN36" s="28">
        <f t="shared" si="1"/>
        <v>4.3999999999999986</v>
      </c>
      <c r="AO36" s="51">
        <f t="shared" si="2"/>
        <v>-11.399999999999999</v>
      </c>
      <c r="AP36" s="28">
        <f t="shared" si="3"/>
        <v>7.3999999999999986</v>
      </c>
      <c r="AQ36" s="28"/>
      <c r="AR36" s="28"/>
      <c r="AS36" s="28"/>
      <c r="AT36" s="29"/>
      <c r="AU36" s="28"/>
      <c r="AW36" s="28"/>
      <c r="BD36" s="28"/>
      <c r="BE36" s="28">
        <v>247</v>
      </c>
      <c r="BF36" s="28"/>
      <c r="BG36" s="28"/>
      <c r="BH36" s="28"/>
      <c r="BI36" s="28"/>
      <c r="BJ36" s="12"/>
    </row>
    <row r="37" spans="1:62" x14ac:dyDescent="0.25">
      <c r="A37">
        <v>2004</v>
      </c>
      <c r="C37" s="61">
        <v>6076</v>
      </c>
      <c r="D37" s="26">
        <v>37</v>
      </c>
      <c r="E37" s="26">
        <v>38</v>
      </c>
      <c r="F37" s="28">
        <v>283</v>
      </c>
      <c r="G37" s="62">
        <f t="shared" si="16"/>
        <v>4.6576695194206715E-2</v>
      </c>
      <c r="H37" s="28"/>
      <c r="I37" s="26">
        <v>26</v>
      </c>
      <c r="J37" s="26">
        <v>26</v>
      </c>
      <c r="K37" s="28">
        <v>-479</v>
      </c>
      <c r="L37" s="62">
        <f t="shared" si="17"/>
        <v>-7.8834759710335753E-2</v>
      </c>
      <c r="M37" s="28"/>
      <c r="N37" s="67">
        <f t="shared" si="0"/>
        <v>64</v>
      </c>
      <c r="O37" s="28"/>
      <c r="P37" s="26">
        <v>27</v>
      </c>
      <c r="Q37" s="26">
        <v>29</v>
      </c>
      <c r="R37" s="28">
        <v>137</v>
      </c>
      <c r="S37" s="62">
        <f t="shared" si="18"/>
        <v>2.2547728768926925E-2</v>
      </c>
      <c r="T37" s="28"/>
      <c r="U37" s="12"/>
      <c r="V37" s="12"/>
      <c r="W37" s="12"/>
      <c r="X37" s="12"/>
      <c r="Y37" s="28"/>
      <c r="Z37" s="28"/>
      <c r="AA37" s="28"/>
      <c r="AB37" s="28">
        <v>9</v>
      </c>
      <c r="AC37" s="62">
        <f t="shared" ref="AC37" si="20">AB37/$C37</f>
        <v>1.4812376563528638E-3</v>
      </c>
      <c r="AD37" s="28"/>
      <c r="AE37" s="28"/>
      <c r="AF37" s="28">
        <v>-28</v>
      </c>
      <c r="AG37" s="28"/>
      <c r="AH37" s="28"/>
      <c r="AI37" s="30">
        <v>35.714285714285715</v>
      </c>
      <c r="AJ37" s="50">
        <v>34.285714285714285</v>
      </c>
      <c r="AK37" s="30">
        <v>19.857142857142858</v>
      </c>
      <c r="AN37" s="28">
        <f t="shared" si="1"/>
        <v>1.7857142857142847</v>
      </c>
      <c r="AO37" s="51">
        <f t="shared" si="2"/>
        <v>-8.2857142857142847</v>
      </c>
      <c r="AP37" s="28">
        <f t="shared" si="3"/>
        <v>8.1428571428571423</v>
      </c>
      <c r="AQ37" s="28"/>
      <c r="AR37" s="28"/>
      <c r="AS37" s="28"/>
      <c r="AT37" s="29"/>
      <c r="AU37" s="28"/>
      <c r="AW37" s="28"/>
      <c r="BD37" s="28"/>
      <c r="BE37" s="28">
        <v>286</v>
      </c>
      <c r="BF37" s="28">
        <v>259</v>
      </c>
      <c r="BG37" s="28">
        <v>82</v>
      </c>
      <c r="BH37" s="28"/>
      <c r="BI37" s="28"/>
      <c r="BJ37" s="12"/>
    </row>
    <row r="38" spans="1:62" x14ac:dyDescent="0.25">
      <c r="A38">
        <v>2005</v>
      </c>
      <c r="B38" t="s">
        <v>0</v>
      </c>
      <c r="C38" s="61">
        <v>2396</v>
      </c>
      <c r="D38" s="26">
        <v>31</v>
      </c>
      <c r="E38" s="26">
        <v>31</v>
      </c>
      <c r="F38" s="28">
        <v>148</v>
      </c>
      <c r="G38" s="62">
        <f t="shared" si="16"/>
        <v>6.1769616026711188E-2</v>
      </c>
      <c r="H38" s="28"/>
      <c r="I38" s="26">
        <v>34</v>
      </c>
      <c r="J38" s="26">
        <v>33</v>
      </c>
      <c r="K38" s="28">
        <v>-114</v>
      </c>
      <c r="L38" s="62">
        <f t="shared" si="17"/>
        <v>-4.757929883138564E-2</v>
      </c>
      <c r="M38" s="28"/>
      <c r="N38" s="67">
        <f t="shared" si="0"/>
        <v>64</v>
      </c>
      <c r="O38" s="28"/>
      <c r="P38" s="26">
        <v>27</v>
      </c>
      <c r="Q38" s="26">
        <v>28</v>
      </c>
      <c r="R38" s="28">
        <v>51</v>
      </c>
      <c r="S38" s="62">
        <f t="shared" si="18"/>
        <v>2.1285475792988316E-2</v>
      </c>
      <c r="T38" s="28"/>
      <c r="U38" s="12"/>
      <c r="V38" s="12"/>
      <c r="W38" s="12"/>
      <c r="X38" s="12"/>
      <c r="Y38" s="28"/>
      <c r="Z38" s="28"/>
      <c r="AA38" s="28"/>
      <c r="AB38" s="28"/>
      <c r="AC38" s="28"/>
      <c r="AD38" s="28"/>
      <c r="AE38" s="28"/>
      <c r="AF38" s="28"/>
      <c r="AG38" s="28"/>
      <c r="AH38" s="28"/>
      <c r="AI38" s="30">
        <v>32.733333333333334</v>
      </c>
      <c r="AJ38" s="50">
        <v>38.4</v>
      </c>
      <c r="AK38" s="30">
        <v>21.3</v>
      </c>
      <c r="AN38" s="28">
        <f t="shared" si="1"/>
        <v>-1.7333333333333343</v>
      </c>
      <c r="AO38" s="51">
        <f t="shared" si="2"/>
        <v>-4.8999999999999986</v>
      </c>
      <c r="AP38" s="28">
        <f t="shared" si="3"/>
        <v>6.1999999999999993</v>
      </c>
      <c r="AQ38" s="28"/>
      <c r="AR38" s="28"/>
      <c r="AS38" s="28"/>
      <c r="AT38" s="29"/>
      <c r="AU38" s="28"/>
      <c r="AV38" s="15"/>
      <c r="AW38" s="28"/>
      <c r="BD38" s="28"/>
      <c r="BE38" s="28"/>
      <c r="BF38" s="28"/>
      <c r="BG38" s="28"/>
      <c r="BH38" s="28"/>
      <c r="BI38" s="28"/>
      <c r="BJ38" s="12"/>
    </row>
    <row r="39" spans="1:62" x14ac:dyDescent="0.25">
      <c r="A39">
        <v>2006</v>
      </c>
      <c r="C39" s="61">
        <f>1861+827+360+1366</f>
        <v>4414</v>
      </c>
      <c r="D39" s="26">
        <v>39</v>
      </c>
      <c r="E39" s="26">
        <v>36</v>
      </c>
      <c r="F39" s="28">
        <v>316</v>
      </c>
      <c r="G39" s="62">
        <f t="shared" si="16"/>
        <v>7.1590394200271856E-2</v>
      </c>
      <c r="H39" s="28"/>
      <c r="I39" s="26">
        <v>26</v>
      </c>
      <c r="J39" s="26">
        <v>24</v>
      </c>
      <c r="K39" s="28">
        <v>-319</v>
      </c>
      <c r="L39" s="62">
        <f t="shared" si="17"/>
        <v>-7.2270049841413678E-2</v>
      </c>
      <c r="M39" s="28"/>
      <c r="N39" s="67">
        <f t="shared" si="0"/>
        <v>60</v>
      </c>
      <c r="O39" s="28"/>
      <c r="P39" s="26">
        <v>25</v>
      </c>
      <c r="Q39" s="26">
        <v>26</v>
      </c>
      <c r="R39" s="28">
        <v>2</v>
      </c>
      <c r="S39" s="62">
        <f t="shared" si="18"/>
        <v>4.5310376076121433E-4</v>
      </c>
      <c r="T39" s="28"/>
      <c r="U39" s="12"/>
      <c r="V39" s="12"/>
      <c r="W39" s="12"/>
      <c r="X39" s="12"/>
      <c r="Y39" s="28"/>
      <c r="Z39" s="28"/>
      <c r="AA39" s="28"/>
      <c r="AB39" s="28">
        <v>21</v>
      </c>
      <c r="AC39" s="62">
        <f t="shared" ref="AC39" si="21">AB39/$C39</f>
        <v>4.7575894879927499E-3</v>
      </c>
      <c r="AD39" s="28"/>
      <c r="AE39" s="28"/>
      <c r="AF39" s="28"/>
      <c r="AG39" s="28"/>
      <c r="AH39" s="28"/>
      <c r="AI39" s="30">
        <v>34.375</v>
      </c>
      <c r="AJ39" s="50">
        <v>33</v>
      </c>
      <c r="AK39" s="30">
        <v>20.25</v>
      </c>
      <c r="AN39" s="28">
        <f t="shared" si="1"/>
        <v>3.125</v>
      </c>
      <c r="AO39" s="51">
        <f t="shared" si="2"/>
        <v>-8</v>
      </c>
      <c r="AP39" s="28">
        <f t="shared" si="3"/>
        <v>5.25</v>
      </c>
      <c r="AQ39" s="28"/>
      <c r="AR39" s="28"/>
      <c r="AS39" s="28"/>
      <c r="AT39" s="29">
        <f>P39-AZ39</f>
        <v>-4</v>
      </c>
      <c r="AU39" s="28"/>
      <c r="AV39" s="26">
        <v>33</v>
      </c>
      <c r="AW39" s="29">
        <v>100</v>
      </c>
      <c r="AX39" s="26">
        <v>28</v>
      </c>
      <c r="AY39" s="28">
        <v>-130</v>
      </c>
      <c r="AZ39" s="26">
        <v>29</v>
      </c>
      <c r="BA39" s="28">
        <v>190</v>
      </c>
      <c r="BD39" s="28"/>
      <c r="BE39" s="28"/>
      <c r="BF39" s="28"/>
      <c r="BG39" s="28"/>
      <c r="BH39" s="28"/>
      <c r="BI39" s="28"/>
      <c r="BJ39" s="12"/>
    </row>
    <row r="40" spans="1:62" x14ac:dyDescent="0.25">
      <c r="A40">
        <v>2007</v>
      </c>
      <c r="C40" s="61">
        <f>10486+1222</f>
        <v>11708</v>
      </c>
      <c r="D40" s="26">
        <v>40</v>
      </c>
      <c r="E40" s="26">
        <v>37</v>
      </c>
      <c r="F40" s="28">
        <v>911</v>
      </c>
      <c r="G40" s="62">
        <f t="shared" ref="G40:G49" si="22">F40/$C40</f>
        <v>7.7810044414075852E-2</v>
      </c>
      <c r="H40" s="28"/>
      <c r="I40" s="26">
        <v>26</v>
      </c>
      <c r="J40" s="26">
        <v>24</v>
      </c>
      <c r="K40" s="28">
        <v>-505</v>
      </c>
      <c r="L40" s="62">
        <f t="shared" ref="L40:L49" si="23">K40/$C40</f>
        <v>-4.3132900580799452E-2</v>
      </c>
      <c r="M40" s="28"/>
      <c r="N40" s="67">
        <f t="shared" si="0"/>
        <v>61</v>
      </c>
      <c r="O40" s="28"/>
      <c r="P40" s="26">
        <v>24</v>
      </c>
      <c r="Q40" s="26">
        <v>24</v>
      </c>
      <c r="R40" s="28">
        <v>-246</v>
      </c>
      <c r="S40" s="62">
        <f t="shared" ref="S40:S49" si="24">R40/$C40</f>
        <v>-2.1011274342330032E-2</v>
      </c>
      <c r="T40" s="28"/>
      <c r="U40" s="12"/>
      <c r="V40" s="12"/>
      <c r="W40" s="12"/>
      <c r="X40" s="12"/>
      <c r="Y40" s="28"/>
      <c r="Z40" s="28"/>
      <c r="AA40" s="28"/>
      <c r="AB40" s="28"/>
      <c r="AC40" s="28"/>
      <c r="AD40" s="28"/>
      <c r="AE40" s="28"/>
      <c r="AF40" s="28"/>
      <c r="AG40" s="28"/>
      <c r="AH40" s="28"/>
      <c r="AI40" s="30">
        <v>37</v>
      </c>
      <c r="AJ40" s="50">
        <v>30.714285714285715</v>
      </c>
      <c r="AK40" s="30">
        <v>19.428571428571427</v>
      </c>
      <c r="AN40" s="28">
        <f t="shared" si="1"/>
        <v>1.5</v>
      </c>
      <c r="AO40" s="51">
        <f t="shared" si="2"/>
        <v>-5.7142857142857153</v>
      </c>
      <c r="AP40" s="28">
        <f t="shared" si="3"/>
        <v>4.571428571428573</v>
      </c>
      <c r="AQ40" s="28"/>
      <c r="AR40" s="28"/>
      <c r="AS40" s="28"/>
      <c r="AT40" s="29">
        <f>P40-AZ40</f>
        <v>-5</v>
      </c>
      <c r="AU40" s="28"/>
      <c r="AV40" s="26">
        <v>39</v>
      </c>
      <c r="AW40" s="28">
        <v>330</v>
      </c>
      <c r="AX40" s="26">
        <v>24</v>
      </c>
      <c r="AY40" s="28">
        <v>-500</v>
      </c>
      <c r="AZ40" s="26">
        <v>29</v>
      </c>
      <c r="BA40" s="28">
        <v>110</v>
      </c>
      <c r="BD40" s="28"/>
      <c r="BE40" s="28">
        <v>352</v>
      </c>
      <c r="BF40" s="28"/>
      <c r="BG40" s="28"/>
      <c r="BH40" s="28"/>
      <c r="BI40" s="28"/>
      <c r="BJ40" s="12"/>
    </row>
    <row r="41" spans="1:62" x14ac:dyDescent="0.25">
      <c r="A41">
        <v>2008</v>
      </c>
      <c r="C41" s="61">
        <v>4104</v>
      </c>
      <c r="D41" s="26">
        <v>43</v>
      </c>
      <c r="E41" s="26">
        <v>41</v>
      </c>
      <c r="F41" s="28">
        <v>300</v>
      </c>
      <c r="G41" s="62">
        <f t="shared" si="22"/>
        <v>7.3099415204678359E-2</v>
      </c>
      <c r="H41" s="28"/>
      <c r="I41" s="26">
        <v>24</v>
      </c>
      <c r="J41" s="26">
        <v>22</v>
      </c>
      <c r="K41" s="28">
        <v>-434</v>
      </c>
      <c r="L41" s="62">
        <f t="shared" si="23"/>
        <v>-0.10575048732943469</v>
      </c>
      <c r="M41" s="28"/>
      <c r="N41" s="67">
        <f t="shared" si="0"/>
        <v>63</v>
      </c>
      <c r="O41" s="28"/>
      <c r="P41" s="26">
        <v>23</v>
      </c>
      <c r="Q41" s="26">
        <v>24</v>
      </c>
      <c r="R41" s="28">
        <v>33</v>
      </c>
      <c r="S41" s="62">
        <f t="shared" si="24"/>
        <v>8.0409356725146194E-3</v>
      </c>
      <c r="T41" s="28"/>
      <c r="U41" s="12"/>
      <c r="V41" s="12"/>
      <c r="W41" s="12"/>
      <c r="X41" s="12"/>
      <c r="Y41" s="28"/>
      <c r="Z41" s="28"/>
      <c r="AA41" s="28"/>
      <c r="AB41" s="28"/>
      <c r="AC41" s="28"/>
      <c r="AD41" s="28"/>
      <c r="AE41" s="28"/>
      <c r="AF41" s="28">
        <v>33</v>
      </c>
      <c r="AG41" s="28"/>
      <c r="AH41" s="28"/>
      <c r="AI41" s="30">
        <v>40.6</v>
      </c>
      <c r="AJ41" s="50">
        <v>30.1</v>
      </c>
      <c r="AK41" s="30">
        <v>18.3</v>
      </c>
      <c r="AN41" s="28">
        <f t="shared" si="1"/>
        <v>1.3999999999999986</v>
      </c>
      <c r="AO41" s="51">
        <f t="shared" si="2"/>
        <v>-7.1000000000000014</v>
      </c>
      <c r="AP41" s="28">
        <f t="shared" si="3"/>
        <v>5.1999999999999993</v>
      </c>
      <c r="AQ41" s="28"/>
      <c r="AR41" s="28"/>
      <c r="AS41" s="28"/>
      <c r="AT41" s="29"/>
      <c r="AU41" s="28"/>
      <c r="AV41" s="26"/>
      <c r="AW41" s="28"/>
      <c r="AX41" s="26"/>
      <c r="AY41" s="28"/>
      <c r="AZ41" s="26"/>
      <c r="BA41" s="28"/>
      <c r="BD41" s="28"/>
      <c r="BE41" s="28">
        <v>388</v>
      </c>
      <c r="BF41" s="28">
        <v>177</v>
      </c>
      <c r="BG41" s="28">
        <v>55</v>
      </c>
      <c r="BH41" s="28"/>
      <c r="BI41" s="28"/>
      <c r="BJ41" s="12"/>
    </row>
    <row r="42" spans="1:62" x14ac:dyDescent="0.25">
      <c r="A42">
        <v>2009</v>
      </c>
      <c r="C42" s="61">
        <v>2318</v>
      </c>
      <c r="D42" s="26">
        <v>35</v>
      </c>
      <c r="E42" s="26">
        <v>35</v>
      </c>
      <c r="F42" s="29">
        <v>285</v>
      </c>
      <c r="G42" s="62">
        <f t="shared" si="22"/>
        <v>0.12295081967213115</v>
      </c>
      <c r="H42" s="29"/>
      <c r="I42" s="26">
        <v>22</v>
      </c>
      <c r="J42" s="26">
        <v>20</v>
      </c>
      <c r="K42" s="29">
        <v>-329</v>
      </c>
      <c r="L42" s="62">
        <f t="shared" si="23"/>
        <v>-0.14193270060396893</v>
      </c>
      <c r="M42" s="29"/>
      <c r="N42" s="67">
        <f t="shared" si="0"/>
        <v>55</v>
      </c>
      <c r="O42" s="29"/>
      <c r="P42" s="26">
        <v>25</v>
      </c>
      <c r="Q42" s="26">
        <v>26</v>
      </c>
      <c r="R42" s="28">
        <v>-48</v>
      </c>
      <c r="S42" s="62">
        <f t="shared" si="24"/>
        <v>-2.0707506471095771E-2</v>
      </c>
      <c r="T42" s="29"/>
      <c r="U42" s="26">
        <v>10</v>
      </c>
      <c r="V42" s="14"/>
      <c r="W42" s="12"/>
      <c r="X42" s="12"/>
      <c r="Y42" s="29"/>
      <c r="Z42" s="29"/>
      <c r="AA42" s="29"/>
      <c r="AB42" s="28">
        <v>8</v>
      </c>
      <c r="AC42" s="62">
        <f t="shared" ref="AC42" si="25">AB42/$C42</f>
        <v>3.4512510785159622E-3</v>
      </c>
      <c r="AD42" s="29"/>
      <c r="AE42" s="28"/>
      <c r="AF42" s="28"/>
      <c r="AG42" s="28"/>
      <c r="AH42" s="29"/>
      <c r="AI42" s="30">
        <v>39.6875</v>
      </c>
      <c r="AJ42" s="50">
        <v>23.1875</v>
      </c>
      <c r="AK42" s="30">
        <v>18.6875</v>
      </c>
      <c r="AN42" s="28">
        <f t="shared" si="1"/>
        <v>-4.6875</v>
      </c>
      <c r="AO42" s="51">
        <f t="shared" si="2"/>
        <v>-2.1875</v>
      </c>
      <c r="AP42" s="28">
        <f t="shared" si="3"/>
        <v>6.8125</v>
      </c>
      <c r="AQ42" s="28"/>
      <c r="AR42" s="28"/>
      <c r="AS42" s="29"/>
      <c r="AT42" s="29">
        <f>P42-AZ42</f>
        <v>-2</v>
      </c>
      <c r="AU42" s="29"/>
      <c r="AV42" s="26">
        <v>40</v>
      </c>
      <c r="AW42" s="28">
        <v>300</v>
      </c>
      <c r="AX42" s="26">
        <v>25</v>
      </c>
      <c r="AY42" s="28">
        <v>-250</v>
      </c>
      <c r="AZ42" s="26">
        <v>27</v>
      </c>
      <c r="BA42" s="28"/>
      <c r="BD42" s="29"/>
      <c r="BE42" s="28">
        <v>342</v>
      </c>
      <c r="BF42" s="28">
        <v>212</v>
      </c>
      <c r="BG42" s="28">
        <v>63</v>
      </c>
      <c r="BH42" s="28"/>
      <c r="BI42" s="28"/>
      <c r="BJ42" s="12"/>
    </row>
    <row r="43" spans="1:62" x14ac:dyDescent="0.25">
      <c r="A43">
        <v>2010</v>
      </c>
      <c r="B43" t="s">
        <v>0</v>
      </c>
      <c r="C43" s="61">
        <v>4223</v>
      </c>
      <c r="D43" s="26">
        <v>35</v>
      </c>
      <c r="E43" s="26">
        <v>35</v>
      </c>
      <c r="F43" s="28">
        <v>-119</v>
      </c>
      <c r="G43" s="62">
        <f t="shared" si="22"/>
        <v>-2.8179019654274214E-2</v>
      </c>
      <c r="H43" s="28"/>
      <c r="I43" s="26">
        <v>28</v>
      </c>
      <c r="J43" s="26">
        <v>27</v>
      </c>
      <c r="K43" s="28">
        <v>412</v>
      </c>
      <c r="L43" s="62">
        <f t="shared" si="23"/>
        <v>9.7560975609756101E-2</v>
      </c>
      <c r="M43" s="28"/>
      <c r="N43" s="67">
        <f t="shared" si="0"/>
        <v>62</v>
      </c>
      <c r="O43" s="28"/>
      <c r="P43" s="26">
        <v>25</v>
      </c>
      <c r="Q43" s="26">
        <v>26</v>
      </c>
      <c r="R43" s="28">
        <v>-129</v>
      </c>
      <c r="S43" s="62">
        <f t="shared" si="24"/>
        <v>-3.0547004499171207E-2</v>
      </c>
      <c r="T43" s="28"/>
      <c r="U43" s="12"/>
      <c r="V43" s="12"/>
      <c r="W43" s="12"/>
      <c r="X43" s="12"/>
      <c r="Y43" s="28"/>
      <c r="Z43" s="28"/>
      <c r="AA43" s="28"/>
      <c r="AB43" s="28"/>
      <c r="AC43" s="28"/>
      <c r="AD43" s="28"/>
      <c r="AE43" s="28"/>
      <c r="AF43" s="28"/>
      <c r="AG43" s="28"/>
      <c r="AH43" s="28"/>
      <c r="AI43" s="30">
        <v>35.022727272727273</v>
      </c>
      <c r="AJ43" s="50">
        <v>28.125</v>
      </c>
      <c r="AK43" s="30">
        <v>26.011363636363637</v>
      </c>
      <c r="AN43" s="28">
        <f t="shared" si="1"/>
        <v>-2.2727272727273373E-2</v>
      </c>
      <c r="AO43" s="51">
        <f t="shared" si="2"/>
        <v>-0.625</v>
      </c>
      <c r="AP43" s="28">
        <f t="shared" si="3"/>
        <v>-0.51136363636363669</v>
      </c>
      <c r="AQ43" s="28"/>
      <c r="AR43" s="28"/>
      <c r="AS43" s="28"/>
      <c r="AT43" s="29"/>
      <c r="AU43" s="28"/>
      <c r="AV43" s="26"/>
      <c r="AW43" s="28"/>
      <c r="AX43" s="26"/>
      <c r="AY43" s="28"/>
      <c r="AZ43" s="26"/>
      <c r="BA43" s="28"/>
      <c r="BD43" s="28"/>
      <c r="BE43" s="28"/>
      <c r="BF43" s="28"/>
      <c r="BG43" s="28"/>
      <c r="BH43" s="28"/>
      <c r="BI43" s="28"/>
      <c r="BJ43" s="12"/>
    </row>
    <row r="44" spans="1:62" x14ac:dyDescent="0.25">
      <c r="A44">
        <v>2011</v>
      </c>
      <c r="C44" s="61">
        <v>9460</v>
      </c>
      <c r="D44" s="26">
        <v>38</v>
      </c>
      <c r="E44" s="26">
        <v>35</v>
      </c>
      <c r="F44" s="28">
        <v>81</v>
      </c>
      <c r="G44" s="62">
        <f t="shared" si="22"/>
        <v>8.5623678646934466E-3</v>
      </c>
      <c r="H44" s="28"/>
      <c r="I44" s="26">
        <v>37</v>
      </c>
      <c r="J44" s="26">
        <v>36</v>
      </c>
      <c r="K44" s="28">
        <v>800</v>
      </c>
      <c r="L44" s="62">
        <f t="shared" si="23"/>
        <v>8.4566596194503171E-2</v>
      </c>
      <c r="M44" s="28"/>
      <c r="N44" s="67">
        <f t="shared" si="0"/>
        <v>71</v>
      </c>
      <c r="O44" s="28"/>
      <c r="P44" s="26">
        <v>16</v>
      </c>
      <c r="Q44" s="26">
        <v>16</v>
      </c>
      <c r="R44" s="28">
        <v>-695</v>
      </c>
      <c r="S44" s="62">
        <f t="shared" si="24"/>
        <v>-7.3467230443974629E-2</v>
      </c>
      <c r="T44" s="28"/>
      <c r="U44" s="26">
        <v>3</v>
      </c>
      <c r="V44" s="12"/>
      <c r="W44" s="28"/>
      <c r="X44" s="28"/>
      <c r="Y44" s="28"/>
      <c r="Z44" s="28"/>
      <c r="AA44" s="28"/>
      <c r="AB44" s="28"/>
      <c r="AC44" s="28"/>
      <c r="AD44" s="28"/>
      <c r="AE44" s="28"/>
      <c r="AF44" s="28"/>
      <c r="AG44" s="28"/>
      <c r="AH44" s="28"/>
      <c r="AI44" s="50">
        <v>35.799999999999997</v>
      </c>
      <c r="AJ44" s="30">
        <v>40.766666666666666</v>
      </c>
      <c r="AK44" s="30">
        <v>10.199999999999999</v>
      </c>
      <c r="AN44" s="51">
        <f t="shared" si="1"/>
        <v>0.70000000000000284</v>
      </c>
      <c r="AO44" s="28">
        <f t="shared" si="2"/>
        <v>-4.2666666666666657</v>
      </c>
      <c r="AP44" s="28">
        <f t="shared" si="3"/>
        <v>5.8000000000000007</v>
      </c>
      <c r="AQ44" s="28"/>
      <c r="AR44" s="28"/>
      <c r="AS44" s="28"/>
      <c r="AT44" s="29">
        <f>P44-AZ44</f>
        <v>-1</v>
      </c>
      <c r="AU44" s="28"/>
      <c r="AV44" s="26">
        <v>35</v>
      </c>
      <c r="AW44" s="28">
        <v>-1000</v>
      </c>
      <c r="AX44" s="26">
        <v>38</v>
      </c>
      <c r="AY44" s="28">
        <v>1300</v>
      </c>
      <c r="AZ44" s="26">
        <v>17</v>
      </c>
      <c r="BA44" s="28">
        <v>-400</v>
      </c>
      <c r="BD44" s="28"/>
      <c r="BE44" s="28">
        <v>270</v>
      </c>
      <c r="BF44" s="28">
        <v>318</v>
      </c>
      <c r="BG44" s="28">
        <v>26</v>
      </c>
      <c r="BH44" s="28"/>
      <c r="BI44" s="28"/>
      <c r="BJ44" s="12"/>
    </row>
    <row r="45" spans="1:62" x14ac:dyDescent="0.25">
      <c r="A45">
        <v>2012</v>
      </c>
      <c r="C45" s="65">
        <f>3636+1223</f>
        <v>4859</v>
      </c>
      <c r="D45" s="26">
        <v>33</v>
      </c>
      <c r="E45" s="26">
        <v>31</v>
      </c>
      <c r="F45" s="28">
        <v>-432</v>
      </c>
      <c r="G45" s="62">
        <f t="shared" si="22"/>
        <v>-8.890718254784935E-2</v>
      </c>
      <c r="H45" s="28"/>
      <c r="I45" s="26">
        <v>39</v>
      </c>
      <c r="J45" s="26">
        <v>38</v>
      </c>
      <c r="K45" s="28">
        <v>861</v>
      </c>
      <c r="L45" s="62">
        <f t="shared" si="23"/>
        <v>0.17719695410578309</v>
      </c>
      <c r="M45" s="28"/>
      <c r="N45" s="67">
        <f t="shared" si="0"/>
        <v>69</v>
      </c>
      <c r="O45" s="28"/>
      <c r="P45" s="26">
        <v>15</v>
      </c>
      <c r="Q45" s="26">
        <v>16</v>
      </c>
      <c r="R45" s="28">
        <v>-387</v>
      </c>
      <c r="S45" s="62">
        <f t="shared" si="24"/>
        <v>-7.9646017699115043E-2</v>
      </c>
      <c r="T45" s="28"/>
      <c r="U45" s="26">
        <v>5</v>
      </c>
      <c r="V45" s="12"/>
      <c r="W45" s="28"/>
      <c r="X45" s="28"/>
      <c r="Y45" s="28"/>
      <c r="Z45" s="28"/>
      <c r="AA45" s="28"/>
      <c r="AB45" s="28">
        <v>11</v>
      </c>
      <c r="AC45" s="62">
        <f t="shared" ref="AC45:AC58" si="26">AB45/$C45</f>
        <v>2.2638402963572751E-3</v>
      </c>
      <c r="AD45" s="28"/>
      <c r="AE45" s="28">
        <v>57</v>
      </c>
      <c r="AF45" s="28">
        <v>-41</v>
      </c>
      <c r="AG45" s="28"/>
      <c r="AH45" s="28"/>
      <c r="AI45" s="50">
        <v>32.5</v>
      </c>
      <c r="AJ45" s="30">
        <v>40.84375</v>
      </c>
      <c r="AK45" s="30">
        <v>9.625</v>
      </c>
      <c r="AN45" s="51">
        <f t="shared" si="1"/>
        <v>-0.5</v>
      </c>
      <c r="AO45" s="28">
        <f t="shared" si="2"/>
        <v>-2.34375</v>
      </c>
      <c r="AP45" s="28">
        <f t="shared" si="3"/>
        <v>5.875</v>
      </c>
      <c r="AQ45" s="28"/>
      <c r="AR45" s="28"/>
      <c r="AS45" s="28"/>
      <c r="AT45" s="29">
        <f>P45-AZ45</f>
        <v>-2</v>
      </c>
      <c r="AU45" s="28"/>
      <c r="AV45" s="26">
        <v>34</v>
      </c>
      <c r="AW45" s="28"/>
      <c r="AX45" s="26">
        <v>38</v>
      </c>
      <c r="AY45" s="28"/>
      <c r="AZ45" s="26">
        <v>17</v>
      </c>
      <c r="BA45" s="28"/>
      <c r="BD45" s="28"/>
      <c r="BE45" s="28"/>
      <c r="BF45" s="28">
        <v>363</v>
      </c>
      <c r="BG45" s="28"/>
      <c r="BH45" s="28"/>
      <c r="BI45" s="28"/>
      <c r="BJ45" s="12"/>
    </row>
    <row r="46" spans="1:62" x14ac:dyDescent="0.25">
      <c r="A46">
        <v>2013</v>
      </c>
      <c r="C46" s="65">
        <v>2392</v>
      </c>
      <c r="D46" s="26">
        <v>26</v>
      </c>
      <c r="E46" s="26">
        <v>25</v>
      </c>
      <c r="F46" s="28">
        <v>-335</v>
      </c>
      <c r="G46" s="62">
        <f t="shared" si="22"/>
        <v>-0.14005016722408026</v>
      </c>
      <c r="H46" s="28"/>
      <c r="I46" s="26">
        <v>29</v>
      </c>
      <c r="J46" s="26">
        <v>29</v>
      </c>
      <c r="K46" s="28">
        <v>291</v>
      </c>
      <c r="L46" s="62">
        <f t="shared" si="23"/>
        <v>0.12165551839464883</v>
      </c>
      <c r="M46" s="28"/>
      <c r="N46" s="67">
        <f t="shared" si="0"/>
        <v>54</v>
      </c>
      <c r="O46" s="28"/>
      <c r="P46" s="26">
        <v>13</v>
      </c>
      <c r="Q46" s="26">
        <v>14</v>
      </c>
      <c r="R46" s="28">
        <v>-124</v>
      </c>
      <c r="S46" s="62">
        <f t="shared" si="24"/>
        <v>-5.1839464882943144E-2</v>
      </c>
      <c r="T46" s="28"/>
      <c r="U46" s="26">
        <v>22</v>
      </c>
      <c r="V46" s="26">
        <v>23</v>
      </c>
      <c r="W46" s="28">
        <v>139</v>
      </c>
      <c r="X46" s="62">
        <f t="shared" ref="X46:X53" si="27">W46/$C46</f>
        <v>5.8110367892976592E-2</v>
      </c>
      <c r="Y46" s="28"/>
      <c r="Z46" s="28"/>
      <c r="AA46" s="28"/>
      <c r="AB46" s="28">
        <v>5</v>
      </c>
      <c r="AC46" s="62">
        <f t="shared" si="26"/>
        <v>2.0903010033444815E-3</v>
      </c>
      <c r="AD46" s="28"/>
      <c r="AE46" s="28"/>
      <c r="AF46" s="28">
        <v>6</v>
      </c>
      <c r="AG46" s="28">
        <v>-3</v>
      </c>
      <c r="AH46" s="28"/>
      <c r="AI46" s="52">
        <v>30.53125</v>
      </c>
      <c r="AJ46" s="31">
        <v>39.46875</v>
      </c>
      <c r="AK46" s="31">
        <v>10.375</v>
      </c>
      <c r="AN46" s="51">
        <f t="shared" si="1"/>
        <v>-5.03125</v>
      </c>
      <c r="AO46" s="28">
        <f t="shared" si="2"/>
        <v>-10.46875</v>
      </c>
      <c r="AP46" s="28">
        <f t="shared" si="3"/>
        <v>3.125</v>
      </c>
      <c r="AQ46" s="28"/>
      <c r="AR46" s="28"/>
      <c r="AS46" s="28"/>
      <c r="AT46" s="29">
        <f>P46-AZ46</f>
        <v>-3</v>
      </c>
      <c r="AU46" s="28"/>
      <c r="AV46" s="26">
        <v>29</v>
      </c>
      <c r="AW46" s="28">
        <v>-310</v>
      </c>
      <c r="AX46" s="26">
        <v>38</v>
      </c>
      <c r="AY46" s="28">
        <v>350</v>
      </c>
      <c r="AZ46" s="26">
        <v>16</v>
      </c>
      <c r="BA46" s="28">
        <v>-130</v>
      </c>
      <c r="BD46" s="28"/>
      <c r="BE46" s="28">
        <v>245</v>
      </c>
      <c r="BF46" s="28">
        <v>331</v>
      </c>
      <c r="BG46" s="28">
        <v>48</v>
      </c>
      <c r="BH46" s="28"/>
      <c r="BI46" s="28"/>
      <c r="BJ46" s="12"/>
    </row>
    <row r="47" spans="1:62" x14ac:dyDescent="0.25">
      <c r="A47">
        <v>2014</v>
      </c>
      <c r="C47" s="61">
        <v>4262</v>
      </c>
      <c r="D47" s="26">
        <v>30</v>
      </c>
      <c r="E47" s="26">
        <v>29</v>
      </c>
      <c r="F47" s="28">
        <v>-231</v>
      </c>
      <c r="G47" s="62">
        <f t="shared" si="22"/>
        <v>-5.419990614734866E-2</v>
      </c>
      <c r="H47" s="28"/>
      <c r="I47" s="26">
        <v>31</v>
      </c>
      <c r="J47" s="26">
        <v>31</v>
      </c>
      <c r="K47" s="28">
        <v>338</v>
      </c>
      <c r="L47" s="62">
        <f t="shared" si="23"/>
        <v>7.9305490380103233E-2</v>
      </c>
      <c r="M47" s="28"/>
      <c r="N47" s="67">
        <f t="shared" si="0"/>
        <v>60</v>
      </c>
      <c r="O47" s="28"/>
      <c r="P47" s="26">
        <v>11</v>
      </c>
      <c r="Q47" s="26">
        <v>13</v>
      </c>
      <c r="R47" s="28">
        <v>-307</v>
      </c>
      <c r="S47" s="62">
        <f t="shared" si="24"/>
        <v>-7.2031909901454722E-2</v>
      </c>
      <c r="T47" s="28"/>
      <c r="U47" s="26">
        <v>18</v>
      </c>
      <c r="V47" s="26">
        <v>17</v>
      </c>
      <c r="W47" s="28">
        <v>161</v>
      </c>
      <c r="X47" s="62">
        <f t="shared" si="27"/>
        <v>3.7775692163303613E-2</v>
      </c>
      <c r="Y47" s="28"/>
      <c r="Z47" s="28"/>
      <c r="AA47" s="28"/>
      <c r="AB47" s="28">
        <v>16</v>
      </c>
      <c r="AC47" s="62">
        <f t="shared" si="26"/>
        <v>3.7541060534960111E-3</v>
      </c>
      <c r="AD47" s="28"/>
      <c r="AE47" s="28"/>
      <c r="AF47" s="28"/>
      <c r="AG47" s="28"/>
      <c r="AH47" s="28"/>
      <c r="AI47" s="52">
        <v>32.073170731707314</v>
      </c>
      <c r="AJ47" s="31">
        <v>34.951219512195124</v>
      </c>
      <c r="AK47" s="31">
        <v>8.7073170731707314</v>
      </c>
      <c r="AN47" s="51">
        <f t="shared" si="1"/>
        <v>-2.5731707317073145</v>
      </c>
      <c r="AO47" s="28">
        <f t="shared" si="2"/>
        <v>-3.9512195121951237</v>
      </c>
      <c r="AP47" s="28">
        <f t="shared" si="3"/>
        <v>3.2926829268292686</v>
      </c>
      <c r="AQ47" s="28"/>
      <c r="AR47" s="28"/>
      <c r="AS47" s="28"/>
      <c r="AT47" s="29">
        <f>P47-AZ47</f>
        <v>-3</v>
      </c>
      <c r="AU47" s="28"/>
      <c r="AV47" s="26">
        <v>30</v>
      </c>
      <c r="AW47" s="28">
        <v>-220</v>
      </c>
      <c r="AX47" s="26">
        <v>33</v>
      </c>
      <c r="AY47" s="28">
        <v>490</v>
      </c>
      <c r="AZ47" s="26">
        <v>14</v>
      </c>
      <c r="BA47" s="28">
        <v>-350</v>
      </c>
      <c r="BB47" s="26">
        <v>16</v>
      </c>
      <c r="BC47" s="28">
        <v>80</v>
      </c>
      <c r="BD47" s="28"/>
      <c r="BE47" s="28">
        <v>262</v>
      </c>
      <c r="BF47" s="28">
        <v>321</v>
      </c>
      <c r="BG47" s="28">
        <v>37</v>
      </c>
      <c r="BH47" s="28"/>
      <c r="BI47" s="28"/>
      <c r="BJ47" s="12"/>
    </row>
    <row r="48" spans="1:62" x14ac:dyDescent="0.25">
      <c r="A48">
        <v>2015</v>
      </c>
      <c r="B48" t="s">
        <v>0</v>
      </c>
      <c r="C48" s="65">
        <v>9340</v>
      </c>
      <c r="D48" s="26">
        <v>36</v>
      </c>
      <c r="E48" s="26">
        <v>35</v>
      </c>
      <c r="F48" s="28">
        <v>541</v>
      </c>
      <c r="G48" s="62">
        <f t="shared" si="22"/>
        <v>5.7922912205567452E-2</v>
      </c>
      <c r="H48" s="28"/>
      <c r="I48" s="26">
        <v>32</v>
      </c>
      <c r="J48" s="26">
        <v>29</v>
      </c>
      <c r="K48" s="28">
        <v>-203</v>
      </c>
      <c r="L48" s="62">
        <f t="shared" si="23"/>
        <v>-2.1734475374732335E-2</v>
      </c>
      <c r="M48" s="28"/>
      <c r="N48" s="67">
        <f t="shared" si="0"/>
        <v>64</v>
      </c>
      <c r="O48" s="28"/>
      <c r="P48" s="26">
        <v>10</v>
      </c>
      <c r="Q48" s="26">
        <v>11</v>
      </c>
      <c r="R48" s="28">
        <v>-411</v>
      </c>
      <c r="S48" s="62">
        <f t="shared" si="24"/>
        <v>-4.4004282655246252E-2</v>
      </c>
      <c r="T48" s="28"/>
      <c r="U48" s="26">
        <v>12</v>
      </c>
      <c r="V48" s="26">
        <v>13</v>
      </c>
      <c r="W48" s="28">
        <v>176</v>
      </c>
      <c r="X48" s="62">
        <f t="shared" si="27"/>
        <v>1.8843683083511777E-2</v>
      </c>
      <c r="Y48" s="28"/>
      <c r="Z48" s="28"/>
      <c r="AA48" s="28"/>
      <c r="AB48" s="28">
        <v>10</v>
      </c>
      <c r="AC48" s="62">
        <f t="shared" si="26"/>
        <v>1.0706638115631692E-3</v>
      </c>
      <c r="AD48" s="28"/>
      <c r="AE48" s="28"/>
      <c r="AF48" s="28"/>
      <c r="AG48" s="28">
        <v>-1</v>
      </c>
      <c r="AH48" s="28"/>
      <c r="AI48" s="52">
        <v>33.557142857142857</v>
      </c>
      <c r="AJ48" s="31">
        <v>33.585714285714289</v>
      </c>
      <c r="AK48" s="31">
        <v>8.2857142857142865</v>
      </c>
      <c r="AN48" s="51">
        <f t="shared" si="1"/>
        <v>1.9428571428571431</v>
      </c>
      <c r="AO48" s="28">
        <f t="shared" si="2"/>
        <v>-3.085714285714289</v>
      </c>
      <c r="AP48" s="28">
        <f t="shared" si="3"/>
        <v>2.2142857142857135</v>
      </c>
      <c r="AQ48" s="28"/>
      <c r="AR48" s="28"/>
      <c r="AS48" s="28"/>
      <c r="AT48" s="29"/>
      <c r="AU48" s="28"/>
      <c r="AV48" s="26"/>
      <c r="AW48" s="28"/>
      <c r="AX48" s="26"/>
      <c r="AY48" s="28"/>
      <c r="AZ48" s="26"/>
      <c r="BA48" s="28"/>
      <c r="BB48" s="26"/>
      <c r="BC48" s="28"/>
      <c r="BD48" s="28"/>
      <c r="BE48" s="28"/>
      <c r="BF48" s="28"/>
      <c r="BG48" s="28"/>
      <c r="BH48" s="28"/>
      <c r="BI48" s="28"/>
      <c r="BJ48" s="12"/>
    </row>
    <row r="49" spans="1:65" x14ac:dyDescent="0.25">
      <c r="A49">
        <v>2016</v>
      </c>
      <c r="C49" s="65">
        <v>2770</v>
      </c>
      <c r="D49" s="26">
        <v>32</v>
      </c>
      <c r="E49" s="26">
        <v>30</v>
      </c>
      <c r="F49" s="28">
        <v>-46</v>
      </c>
      <c r="G49" s="62">
        <f t="shared" si="22"/>
        <v>-1.6606498194945848E-2</v>
      </c>
      <c r="H49" s="28"/>
      <c r="I49" s="26">
        <v>33</v>
      </c>
      <c r="J49" s="26">
        <v>31</v>
      </c>
      <c r="K49" s="28">
        <v>-23</v>
      </c>
      <c r="L49" s="62">
        <f t="shared" si="23"/>
        <v>-8.3032490974729242E-3</v>
      </c>
      <c r="M49" s="28"/>
      <c r="N49" s="67">
        <f t="shared" si="0"/>
        <v>61</v>
      </c>
      <c r="O49" s="28"/>
      <c r="P49" s="26">
        <v>14</v>
      </c>
      <c r="Q49" s="26">
        <v>15</v>
      </c>
      <c r="R49" s="28">
        <v>44</v>
      </c>
      <c r="S49" s="62">
        <f t="shared" si="24"/>
        <v>1.5884476534296029E-2</v>
      </c>
      <c r="T49" s="28"/>
      <c r="U49" s="26">
        <v>12</v>
      </c>
      <c r="V49" s="26">
        <v>12</v>
      </c>
      <c r="W49" s="28">
        <v>28</v>
      </c>
      <c r="X49" s="62">
        <f t="shared" si="27"/>
        <v>1.0108303249097473E-2</v>
      </c>
      <c r="Y49" s="28"/>
      <c r="Z49" s="28"/>
      <c r="AA49" s="28"/>
      <c r="AB49" s="28">
        <v>0</v>
      </c>
      <c r="AC49" s="62">
        <f t="shared" si="26"/>
        <v>0</v>
      </c>
      <c r="AD49" s="28"/>
      <c r="AE49" s="28"/>
      <c r="AF49" s="28"/>
      <c r="AG49" s="28"/>
      <c r="AH49" s="28"/>
      <c r="AI49" s="52">
        <v>34.875</v>
      </c>
      <c r="AJ49" s="31">
        <v>32.25</v>
      </c>
      <c r="AK49" s="31">
        <v>6.625</v>
      </c>
      <c r="AN49" s="51">
        <f t="shared" si="1"/>
        <v>-3.875</v>
      </c>
      <c r="AO49" s="28">
        <f t="shared" si="2"/>
        <v>-0.25</v>
      </c>
      <c r="AP49" s="28">
        <f t="shared" si="3"/>
        <v>7.875</v>
      </c>
      <c r="AQ49" s="28"/>
      <c r="AR49" s="28"/>
      <c r="AS49" s="28"/>
      <c r="AT49" s="29">
        <f>P49-AZ49</f>
        <v>-2</v>
      </c>
      <c r="AU49" s="28"/>
      <c r="AV49" s="26">
        <v>31</v>
      </c>
      <c r="AW49" s="28">
        <v>50</v>
      </c>
      <c r="AX49" s="26">
        <v>30</v>
      </c>
      <c r="AY49" s="28">
        <v>-150</v>
      </c>
      <c r="AZ49" s="26">
        <v>16</v>
      </c>
      <c r="BA49" s="28">
        <v>40</v>
      </c>
      <c r="BB49" s="26">
        <v>12</v>
      </c>
      <c r="BC49" s="28">
        <v>40</v>
      </c>
      <c r="BD49" s="28"/>
      <c r="BE49" s="28"/>
      <c r="BF49" s="28"/>
      <c r="BG49" s="28"/>
      <c r="BH49" s="28"/>
      <c r="BI49" s="28"/>
      <c r="BJ49" s="12"/>
    </row>
    <row r="50" spans="1:65" x14ac:dyDescent="0.25">
      <c r="A50">
        <v>2017</v>
      </c>
      <c r="C50" s="65">
        <f>3624+1227</f>
        <v>4851</v>
      </c>
      <c r="D50" s="26">
        <v>39</v>
      </c>
      <c r="E50" s="26">
        <v>38</v>
      </c>
      <c r="F50" s="28">
        <v>572</v>
      </c>
      <c r="G50" s="62">
        <f>F50/$C50</f>
        <v>0.11791383219954649</v>
      </c>
      <c r="H50" s="28"/>
      <c r="I50" s="26">
        <v>28</v>
      </c>
      <c r="J50" s="26">
        <v>27</v>
      </c>
      <c r="K50" s="28">
        <v>-378</v>
      </c>
      <c r="L50" s="62">
        <f t="shared" ref="L50:L58" si="28">K50/$C50</f>
        <v>-7.792207792207792E-2</v>
      </c>
      <c r="M50" s="28"/>
      <c r="N50" s="67">
        <f t="shared" si="0"/>
        <v>65</v>
      </c>
      <c r="O50" s="28"/>
      <c r="P50" s="26">
        <v>18</v>
      </c>
      <c r="Q50" s="26">
        <v>18</v>
      </c>
      <c r="R50" s="28">
        <v>-30</v>
      </c>
      <c r="S50" s="62">
        <f t="shared" ref="S50:S58" si="29">R50/$C50</f>
        <v>-6.1842918985776131E-3</v>
      </c>
      <c r="T50" s="28"/>
      <c r="U50" s="26">
        <v>4</v>
      </c>
      <c r="V50" s="26">
        <v>5</v>
      </c>
      <c r="W50" s="28"/>
      <c r="X50" s="28"/>
      <c r="Y50" s="28"/>
      <c r="Z50" s="28"/>
      <c r="AA50" s="28"/>
      <c r="AB50" s="28">
        <v>6</v>
      </c>
      <c r="AC50" s="62">
        <f t="shared" si="26"/>
        <v>1.2368583797155227E-3</v>
      </c>
      <c r="AD50" s="28"/>
      <c r="AE50" s="28"/>
      <c r="AF50" s="28"/>
      <c r="AG50" s="28"/>
      <c r="AH50" s="28"/>
      <c r="AI50" s="53">
        <v>45.571428571428569</v>
      </c>
      <c r="AJ50" s="30">
        <v>27</v>
      </c>
      <c r="AK50" s="30">
        <v>10.285714285714286</v>
      </c>
      <c r="AN50" s="51">
        <f t="shared" si="1"/>
        <v>-7.0714285714285694</v>
      </c>
      <c r="AO50" s="28">
        <f t="shared" si="2"/>
        <v>0.5</v>
      </c>
      <c r="AP50" s="28">
        <f t="shared" si="3"/>
        <v>7.7142857142857135</v>
      </c>
      <c r="AQ50" s="28"/>
      <c r="AR50" s="28"/>
      <c r="AS50" s="28"/>
      <c r="AT50" s="29">
        <f>P50-AZ50</f>
        <v>-3</v>
      </c>
      <c r="AU50" s="28"/>
      <c r="AV50" s="26">
        <v>35</v>
      </c>
      <c r="AW50" s="28">
        <v>115</v>
      </c>
      <c r="AX50" s="26">
        <v>29</v>
      </c>
      <c r="AY50" s="28">
        <v>-75</v>
      </c>
      <c r="AZ50" s="26">
        <v>21</v>
      </c>
      <c r="BA50" s="28">
        <v>85</v>
      </c>
      <c r="BB50" s="26">
        <v>8</v>
      </c>
      <c r="BC50" s="28">
        <v>-105</v>
      </c>
      <c r="BD50" s="28"/>
      <c r="BE50" s="28"/>
      <c r="BF50" s="28"/>
      <c r="BG50" s="28"/>
      <c r="BH50" s="28"/>
      <c r="BI50" s="28"/>
      <c r="BJ50" s="12"/>
    </row>
    <row r="51" spans="1:65" x14ac:dyDescent="0.25">
      <c r="A51">
        <v>2018</v>
      </c>
      <c r="C51" s="65">
        <v>4411</v>
      </c>
      <c r="D51" s="26">
        <v>37</v>
      </c>
      <c r="E51" s="26">
        <v>35</v>
      </c>
      <c r="F51" s="28">
        <v>-33</v>
      </c>
      <c r="G51" s="62">
        <f t="shared" ref="G51:G58" si="30">F51/$C51</f>
        <v>-7.481296758104738E-3</v>
      </c>
      <c r="H51" s="28"/>
      <c r="I51" s="26">
        <v>36</v>
      </c>
      <c r="J51" s="26">
        <v>35</v>
      </c>
      <c r="K51" s="28">
        <v>77</v>
      </c>
      <c r="L51" s="62">
        <f t="shared" si="28"/>
        <v>1.7456359102244388E-2</v>
      </c>
      <c r="M51" s="28"/>
      <c r="N51" s="67">
        <f t="shared" si="0"/>
        <v>70</v>
      </c>
      <c r="O51" s="28"/>
      <c r="P51" s="26">
        <v>14</v>
      </c>
      <c r="Q51" s="26">
        <v>16</v>
      </c>
      <c r="R51" s="28">
        <v>78</v>
      </c>
      <c r="S51" s="62">
        <f t="shared" si="29"/>
        <v>1.76830650646112E-2</v>
      </c>
      <c r="T51" s="28"/>
      <c r="U51" s="26">
        <v>2</v>
      </c>
      <c r="W51" s="28">
        <v>-123</v>
      </c>
      <c r="X51" s="62">
        <f t="shared" si="27"/>
        <v>-2.7884833371117659E-2</v>
      </c>
      <c r="Y51" s="28"/>
      <c r="Z51" s="28"/>
      <c r="AA51" s="28"/>
      <c r="AB51" s="28">
        <v>8</v>
      </c>
      <c r="AC51" s="62">
        <f t="shared" si="26"/>
        <v>1.813647698934482E-3</v>
      </c>
      <c r="AD51" s="28"/>
      <c r="AE51" s="28"/>
      <c r="AF51" s="28"/>
      <c r="AG51" s="28"/>
      <c r="AH51" s="28"/>
      <c r="AI51" s="50">
        <v>41.07692307692308</v>
      </c>
      <c r="AJ51" s="30">
        <v>39.53846153846154</v>
      </c>
      <c r="AK51" s="30">
        <v>8.2307692307692299</v>
      </c>
      <c r="AN51" s="51">
        <f t="shared" si="1"/>
        <v>-5.0769230769230802</v>
      </c>
      <c r="AO51" s="28">
        <f t="shared" si="2"/>
        <v>-4.0384615384615401</v>
      </c>
      <c r="AP51" s="28">
        <f t="shared" si="3"/>
        <v>6.7692307692307701</v>
      </c>
      <c r="AQ51" s="28"/>
      <c r="AR51" s="28"/>
      <c r="AS51" s="28"/>
      <c r="AT51" s="29">
        <f>P51-AZ51</f>
        <v>-4</v>
      </c>
      <c r="AU51" s="28"/>
      <c r="AV51" s="26">
        <v>36</v>
      </c>
      <c r="AW51" s="28">
        <v>-75</v>
      </c>
      <c r="AX51" s="26">
        <v>36</v>
      </c>
      <c r="AY51" s="28">
        <v>200</v>
      </c>
      <c r="AZ51" s="26">
        <v>18</v>
      </c>
      <c r="BA51" s="28">
        <v>30</v>
      </c>
      <c r="BB51" s="26">
        <v>2</v>
      </c>
      <c r="BC51" s="28">
        <v>-125</v>
      </c>
      <c r="BD51" s="28"/>
      <c r="BE51" s="28">
        <v>296</v>
      </c>
      <c r="BF51" s="28">
        <v>270</v>
      </c>
      <c r="BG51" s="28">
        <v>26</v>
      </c>
      <c r="BH51" s="28"/>
      <c r="BI51" s="28"/>
      <c r="BJ51" s="12"/>
    </row>
    <row r="52" spans="1:65" x14ac:dyDescent="0.25">
      <c r="A52">
        <v>2019</v>
      </c>
      <c r="C52" s="65">
        <v>8423</v>
      </c>
      <c r="D52" s="26">
        <v>31</v>
      </c>
      <c r="E52" s="26">
        <v>28</v>
      </c>
      <c r="F52" s="28">
        <v>-1335</v>
      </c>
      <c r="G52" s="62">
        <f t="shared" si="30"/>
        <v>-0.15849459812418379</v>
      </c>
      <c r="I52" s="26">
        <v>31</v>
      </c>
      <c r="J52" s="26">
        <v>28</v>
      </c>
      <c r="K52" s="28">
        <v>-86</v>
      </c>
      <c r="L52" s="62">
        <f t="shared" si="28"/>
        <v>-1.0210138905378131E-2</v>
      </c>
      <c r="N52" s="67">
        <f t="shared" si="0"/>
        <v>56</v>
      </c>
      <c r="P52" s="26">
        <v>17</v>
      </c>
      <c r="Q52" s="26">
        <v>19</v>
      </c>
      <c r="R52" s="28">
        <v>704</v>
      </c>
      <c r="S52" s="62">
        <f t="shared" si="29"/>
        <v>8.3580671969607029E-2</v>
      </c>
      <c r="U52" s="26">
        <v>4</v>
      </c>
      <c r="W52" s="28">
        <v>-142</v>
      </c>
      <c r="X52" s="62">
        <f t="shared" si="27"/>
        <v>-1.6858601448415052E-2</v>
      </c>
      <c r="AB52" s="28">
        <v>192</v>
      </c>
      <c r="AC52" s="62">
        <f t="shared" si="26"/>
        <v>2.2794728718983734E-2</v>
      </c>
      <c r="AI52" s="50">
        <v>27.363636363636363</v>
      </c>
      <c r="AJ52" s="30">
        <v>31.636363636363637</v>
      </c>
      <c r="AK52" s="30">
        <v>8.9090909090909083</v>
      </c>
      <c r="AN52" s="51">
        <f t="shared" si="1"/>
        <v>2.1363636363636367</v>
      </c>
      <c r="AO52" s="28">
        <f t="shared" si="2"/>
        <v>-2.1363636363636367</v>
      </c>
      <c r="AP52" s="28">
        <f t="shared" si="3"/>
        <v>9.0909090909090917</v>
      </c>
      <c r="AQ52" s="28"/>
      <c r="AR52" s="28"/>
      <c r="AT52" s="28">
        <f>P52-AZ52</f>
        <v>1</v>
      </c>
      <c r="AV52" s="26">
        <v>35</v>
      </c>
      <c r="AW52" s="41">
        <v>-405</v>
      </c>
      <c r="AX52" s="26">
        <v>34</v>
      </c>
      <c r="AY52" s="41">
        <v>105</v>
      </c>
      <c r="AZ52" s="26">
        <v>16</v>
      </c>
      <c r="BA52" s="28">
        <v>400</v>
      </c>
      <c r="BB52" s="26">
        <v>5</v>
      </c>
      <c r="BC52" s="28">
        <v>-150</v>
      </c>
      <c r="BE52" s="28">
        <v>279</v>
      </c>
      <c r="BF52" s="28">
        <v>268</v>
      </c>
      <c r="BG52" s="28">
        <v>29</v>
      </c>
      <c r="BH52" s="28"/>
      <c r="BI52" s="28"/>
    </row>
    <row r="53" spans="1:65" x14ac:dyDescent="0.25">
      <c r="A53">
        <v>2021</v>
      </c>
      <c r="C53" s="65">
        <v>4730</v>
      </c>
      <c r="D53" s="26">
        <v>40</v>
      </c>
      <c r="E53" s="26">
        <v>36</v>
      </c>
      <c r="F53" s="28">
        <v>234</v>
      </c>
      <c r="G53" s="62">
        <f t="shared" si="30"/>
        <v>4.9471458773784352E-2</v>
      </c>
      <c r="I53" s="26">
        <v>30</v>
      </c>
      <c r="J53" s="26">
        <v>29</v>
      </c>
      <c r="K53" s="28">
        <v>-326</v>
      </c>
      <c r="L53" s="62">
        <f t="shared" si="28"/>
        <v>-6.8921775898520082E-2</v>
      </c>
      <c r="N53" s="67">
        <f t="shared" si="0"/>
        <v>65</v>
      </c>
      <c r="P53" s="26">
        <v>15</v>
      </c>
      <c r="Q53" s="26">
        <v>17</v>
      </c>
      <c r="R53" s="28">
        <v>8</v>
      </c>
      <c r="S53" s="62">
        <f t="shared" si="29"/>
        <v>1.6913319238900633E-3</v>
      </c>
      <c r="W53" s="28">
        <v>-48</v>
      </c>
      <c r="X53" s="62">
        <f t="shared" si="27"/>
        <v>-1.014799154334038E-2</v>
      </c>
      <c r="AB53" s="28">
        <v>88</v>
      </c>
      <c r="AC53" s="62">
        <f t="shared" si="26"/>
        <v>1.8604651162790697E-2</v>
      </c>
      <c r="AI53" s="53">
        <v>42.28</v>
      </c>
      <c r="AJ53" s="46">
        <v>34.799999999999997</v>
      </c>
      <c r="AK53" s="46">
        <v>7.52</v>
      </c>
      <c r="AN53" s="51">
        <f t="shared" si="1"/>
        <v>-4.2800000000000011</v>
      </c>
      <c r="AO53" s="28">
        <f t="shared" si="2"/>
        <v>-5.2999999999999972</v>
      </c>
      <c r="AP53" s="28">
        <f t="shared" si="3"/>
        <v>8.48</v>
      </c>
      <c r="AQ53" s="28"/>
      <c r="AR53" s="28"/>
      <c r="AT53" s="43" t="s">
        <v>63</v>
      </c>
      <c r="AV53" s="43" t="s">
        <v>63</v>
      </c>
      <c r="AW53" s="43" t="s">
        <v>63</v>
      </c>
      <c r="AX53" s="43" t="s">
        <v>63</v>
      </c>
      <c r="AY53" s="43" t="s">
        <v>63</v>
      </c>
      <c r="AZ53" s="43" t="s">
        <v>63</v>
      </c>
      <c r="BA53" s="43" t="s">
        <v>63</v>
      </c>
      <c r="BB53" s="43" t="s">
        <v>63</v>
      </c>
      <c r="BC53" s="43" t="s">
        <v>63</v>
      </c>
      <c r="BE53" s="28">
        <v>344</v>
      </c>
      <c r="BF53" s="28">
        <v>210</v>
      </c>
      <c r="BG53" s="28">
        <v>23</v>
      </c>
      <c r="BH53" s="28"/>
      <c r="BI53" s="28"/>
    </row>
    <row r="54" spans="1:65" x14ac:dyDescent="0.25">
      <c r="A54">
        <v>2022</v>
      </c>
      <c r="C54" s="65">
        <f>5634+1223</f>
        <v>6857</v>
      </c>
      <c r="D54" s="26">
        <v>33</v>
      </c>
      <c r="E54" s="26">
        <v>30</v>
      </c>
      <c r="F54" s="28">
        <v>-485</v>
      </c>
      <c r="G54" s="62">
        <f t="shared" si="30"/>
        <v>-7.073064022167129E-2</v>
      </c>
      <c r="I54" s="26">
        <v>35</v>
      </c>
      <c r="J54" s="26">
        <v>35</v>
      </c>
      <c r="K54" s="28">
        <v>108</v>
      </c>
      <c r="L54" s="62">
        <f t="shared" si="28"/>
        <v>1.5750328131836081E-2</v>
      </c>
      <c r="N54" s="67">
        <f t="shared" si="0"/>
        <v>65</v>
      </c>
      <c r="P54" s="26">
        <v>17</v>
      </c>
      <c r="Q54" s="26">
        <v>19</v>
      </c>
      <c r="R54" s="28">
        <v>224</v>
      </c>
      <c r="S54" s="62">
        <f t="shared" si="29"/>
        <v>3.2667347236400759E-2</v>
      </c>
      <c r="AB54" s="28">
        <v>87</v>
      </c>
      <c r="AC54" s="62">
        <f t="shared" si="26"/>
        <v>1.268776432842351E-2</v>
      </c>
      <c r="AE54" s="28">
        <v>22</v>
      </c>
      <c r="AF54" s="28">
        <v>-6</v>
      </c>
      <c r="AI54" s="50">
        <v>33.530769230769231</v>
      </c>
      <c r="AJ54" s="30">
        <v>40.311538461538461</v>
      </c>
      <c r="AK54" s="30">
        <v>9.615384615384615</v>
      </c>
      <c r="AN54" s="51">
        <f t="shared" si="1"/>
        <v>-2.0307692307692307</v>
      </c>
      <c r="AO54" s="28">
        <f t="shared" si="2"/>
        <v>-5.3115384615384613</v>
      </c>
      <c r="AP54" s="28">
        <f t="shared" si="3"/>
        <v>8.384615384615385</v>
      </c>
      <c r="AQ54" s="28"/>
      <c r="AR54" s="28"/>
      <c r="AT54" s="43" t="s">
        <v>63</v>
      </c>
      <c r="AV54" s="43" t="s">
        <v>63</v>
      </c>
      <c r="AW54" s="43" t="s">
        <v>63</v>
      </c>
      <c r="AX54" s="43" t="s">
        <v>63</v>
      </c>
      <c r="AY54" s="43" t="s">
        <v>63</v>
      </c>
      <c r="AZ54" s="43" t="s">
        <v>63</v>
      </c>
      <c r="BA54" s="43" t="s">
        <v>63</v>
      </c>
      <c r="BB54" s="43" t="s">
        <v>63</v>
      </c>
      <c r="BC54" s="43" t="s">
        <v>63</v>
      </c>
      <c r="BE54" s="28"/>
      <c r="BF54" s="28"/>
      <c r="BG54" s="28"/>
      <c r="BH54" s="28"/>
      <c r="BI54" s="28"/>
      <c r="BK54" s="28">
        <v>253</v>
      </c>
      <c r="BL54" s="28">
        <v>291</v>
      </c>
      <c r="BM54" s="28">
        <v>31</v>
      </c>
    </row>
    <row r="55" spans="1:65" x14ac:dyDescent="0.25">
      <c r="A55">
        <v>2023</v>
      </c>
      <c r="C55" s="65">
        <v>8077</v>
      </c>
      <c r="D55" s="26">
        <v>29</v>
      </c>
      <c r="E55" s="26">
        <v>26</v>
      </c>
      <c r="F55" s="28">
        <v>-1059</v>
      </c>
      <c r="G55" s="62">
        <f t="shared" si="30"/>
        <v>-0.13111303701869506</v>
      </c>
      <c r="I55" s="26">
        <v>36</v>
      </c>
      <c r="J55" s="26">
        <v>35</v>
      </c>
      <c r="K55" s="28">
        <v>578</v>
      </c>
      <c r="L55" s="62">
        <f t="shared" si="28"/>
        <v>7.1561223226445467E-2</v>
      </c>
      <c r="N55" s="67">
        <f t="shared" si="0"/>
        <v>61</v>
      </c>
      <c r="P55" s="26">
        <v>18</v>
      </c>
      <c r="Q55" s="26">
        <v>20</v>
      </c>
      <c r="R55" s="28">
        <v>432</v>
      </c>
      <c r="S55" s="62">
        <f t="shared" si="29"/>
        <v>5.3485204902810453E-2</v>
      </c>
      <c r="W55" s="28"/>
      <c r="AB55" s="28">
        <v>231</v>
      </c>
      <c r="AC55" s="62">
        <f t="shared" si="26"/>
        <v>2.8599727621641698E-2</v>
      </c>
      <c r="AI55" s="53">
        <v>28.736666666666668</v>
      </c>
      <c r="AJ55" s="46">
        <v>44.093333333333334</v>
      </c>
      <c r="AK55" s="46">
        <v>9.9</v>
      </c>
      <c r="AN55" s="51">
        <f t="shared" si="1"/>
        <v>-1.2366666666666681</v>
      </c>
      <c r="AO55" s="28">
        <f t="shared" si="2"/>
        <v>-8.5933333333333337</v>
      </c>
      <c r="AP55" s="28">
        <f t="shared" si="3"/>
        <v>9.1</v>
      </c>
      <c r="AQ55" s="28"/>
      <c r="AR55" s="28"/>
      <c r="AT55" s="43" t="s">
        <v>63</v>
      </c>
      <c r="AV55" s="43" t="s">
        <v>63</v>
      </c>
      <c r="AW55" s="43" t="s">
        <v>63</v>
      </c>
      <c r="AX55" s="43" t="s">
        <v>63</v>
      </c>
      <c r="AY55" s="43" t="s">
        <v>63</v>
      </c>
      <c r="AZ55" s="43" t="s">
        <v>63</v>
      </c>
      <c r="BA55" s="43" t="s">
        <v>63</v>
      </c>
      <c r="BB55" s="43" t="s">
        <v>63</v>
      </c>
      <c r="BC55" s="43" t="s">
        <v>63</v>
      </c>
      <c r="BE55" s="28">
        <v>238</v>
      </c>
      <c r="BF55" s="28">
        <v>298</v>
      </c>
      <c r="BG55" s="28">
        <v>39</v>
      </c>
      <c r="BH55" s="28"/>
      <c r="BI55" s="28"/>
      <c r="BK55" s="28">
        <v>226</v>
      </c>
      <c r="BL55" s="28">
        <v>312</v>
      </c>
      <c r="BM55" s="28">
        <v>40</v>
      </c>
    </row>
    <row r="56" spans="1:65" x14ac:dyDescent="0.25">
      <c r="A56">
        <v>2024</v>
      </c>
      <c r="C56" s="65">
        <v>2659</v>
      </c>
      <c r="D56" s="26">
        <v>27</v>
      </c>
      <c r="E56" s="26">
        <v>25</v>
      </c>
      <c r="F56" s="28">
        <v>-473</v>
      </c>
      <c r="G56" s="62">
        <f t="shared" si="30"/>
        <v>-0.17788642346746897</v>
      </c>
      <c r="I56" s="26">
        <v>34</v>
      </c>
      <c r="J56" s="26">
        <v>34</v>
      </c>
      <c r="K56" s="28">
        <v>186</v>
      </c>
      <c r="L56" s="62">
        <f t="shared" si="28"/>
        <v>6.9951109439638962E-2</v>
      </c>
      <c r="N56" s="67">
        <f>E56+J56</f>
        <v>59</v>
      </c>
      <c r="P56" s="26">
        <v>16</v>
      </c>
      <c r="Q56" s="26">
        <v>17</v>
      </c>
      <c r="R56" s="28">
        <v>104</v>
      </c>
      <c r="S56" s="62">
        <f t="shared" si="29"/>
        <v>3.9112448288830384E-2</v>
      </c>
      <c r="W56" s="28"/>
      <c r="AA56" s="26">
        <v>13</v>
      </c>
      <c r="AB56" s="28">
        <v>74</v>
      </c>
      <c r="AC56" s="62">
        <f t="shared" si="26"/>
        <v>2.7830011282437006E-2</v>
      </c>
      <c r="AI56" s="53">
        <v>23.277777777777779</v>
      </c>
      <c r="AJ56" s="46">
        <v>43.666666666666664</v>
      </c>
      <c r="AK56" s="46">
        <v>9.3055555555555554</v>
      </c>
      <c r="AN56" s="51">
        <f t="shared" si="1"/>
        <v>2.7222222222222214</v>
      </c>
      <c r="AO56" s="28">
        <f t="shared" si="2"/>
        <v>-9.6666666666666643</v>
      </c>
      <c r="AP56" s="28">
        <f t="shared" si="3"/>
        <v>7.1944444444444446</v>
      </c>
      <c r="AQ56" s="28"/>
      <c r="AR56" s="28"/>
      <c r="AT56" s="43" t="s">
        <v>63</v>
      </c>
      <c r="AV56" s="43" t="s">
        <v>63</v>
      </c>
      <c r="AW56" s="43" t="s">
        <v>63</v>
      </c>
      <c r="AX56" s="43" t="s">
        <v>63</v>
      </c>
      <c r="AY56" s="43" t="s">
        <v>63</v>
      </c>
      <c r="AZ56" s="43" t="s">
        <v>63</v>
      </c>
      <c r="BA56" s="43" t="s">
        <v>63</v>
      </c>
      <c r="BB56" s="43" t="s">
        <v>63</v>
      </c>
      <c r="BC56" s="43" t="s">
        <v>63</v>
      </c>
      <c r="BE56" s="28">
        <v>242</v>
      </c>
      <c r="BF56" s="28">
        <v>294</v>
      </c>
      <c r="BG56" s="28">
        <v>38</v>
      </c>
      <c r="BH56" s="28"/>
      <c r="BI56" s="28"/>
    </row>
    <row r="57" spans="1:65" x14ac:dyDescent="0.25">
      <c r="A57">
        <v>2025</v>
      </c>
      <c r="C57" s="65">
        <v>1641</v>
      </c>
      <c r="D57" s="26">
        <v>18</v>
      </c>
      <c r="E57" s="26">
        <v>15</v>
      </c>
      <c r="F57" s="28">
        <v>-675</v>
      </c>
      <c r="G57" s="62">
        <f t="shared" si="30"/>
        <v>-0.41133455210237663</v>
      </c>
      <c r="I57" s="26">
        <v>19</v>
      </c>
      <c r="J57" s="26">
        <v>20</v>
      </c>
      <c r="K57" s="28">
        <v>-189</v>
      </c>
      <c r="L57" s="62">
        <f t="shared" si="28"/>
        <v>-0.11517367458866545</v>
      </c>
      <c r="N57" s="67">
        <f>E57+J57</f>
        <v>35</v>
      </c>
      <c r="P57" s="26">
        <v>16</v>
      </c>
      <c r="Q57" s="26">
        <v>17</v>
      </c>
      <c r="R57" s="28">
        <v>163</v>
      </c>
      <c r="S57" s="62">
        <f t="shared" si="29"/>
        <v>9.9329677026203531E-2</v>
      </c>
      <c r="U57" s="26">
        <v>32</v>
      </c>
      <c r="V57" s="26">
        <v>30</v>
      </c>
      <c r="W57" s="28">
        <v>677</v>
      </c>
      <c r="X57" s="62">
        <f t="shared" ref="X57:X58" si="31">W57/$C57</f>
        <v>0.41255332114564292</v>
      </c>
      <c r="Z57" s="26">
        <v>7</v>
      </c>
      <c r="AA57" s="26">
        <v>11</v>
      </c>
      <c r="AB57" s="28">
        <v>44</v>
      </c>
      <c r="AC57" s="62">
        <f t="shared" si="26"/>
        <v>2.6812918951858621E-2</v>
      </c>
      <c r="AI57" s="46">
        <v>22</v>
      </c>
      <c r="AJ57" s="53">
        <v>24</v>
      </c>
      <c r="AK57" s="46">
        <v>14</v>
      </c>
      <c r="AL57">
        <v>25</v>
      </c>
      <c r="AM57">
        <v>9</v>
      </c>
      <c r="AN57" s="28">
        <f t="shared" si="1"/>
        <v>-5.5</v>
      </c>
      <c r="AO57" s="51">
        <f t="shared" si="2"/>
        <v>-4.5</v>
      </c>
      <c r="AP57" s="28">
        <f t="shared" si="3"/>
        <v>2.5</v>
      </c>
      <c r="AQ57" s="28">
        <f>AVERAGE(U57:V57)-AL57</f>
        <v>6</v>
      </c>
      <c r="AR57" s="28">
        <f>AVERAGE(Z57:AA57)-AM57</f>
        <v>0</v>
      </c>
      <c r="AT57" s="43" t="s">
        <v>63</v>
      </c>
      <c r="AV57" s="43" t="s">
        <v>63</v>
      </c>
      <c r="AW57" s="43" t="s">
        <v>63</v>
      </c>
      <c r="AX57" s="43" t="s">
        <v>63</v>
      </c>
      <c r="AY57" s="43" t="s">
        <v>63</v>
      </c>
      <c r="AZ57" s="43" t="s">
        <v>63</v>
      </c>
      <c r="BA57" s="43" t="s">
        <v>63</v>
      </c>
      <c r="BB57" s="43" t="s">
        <v>63</v>
      </c>
      <c r="BC57" s="43" t="s">
        <v>63</v>
      </c>
      <c r="BE57" s="28">
        <v>96</v>
      </c>
      <c r="BF57" s="28">
        <v>110</v>
      </c>
      <c r="BG57" s="28">
        <v>80</v>
      </c>
      <c r="BH57" s="28">
        <v>284</v>
      </c>
      <c r="BI57" s="28">
        <v>13</v>
      </c>
    </row>
    <row r="58" spans="1:65" x14ac:dyDescent="0.25">
      <c r="A58">
        <v>2026</v>
      </c>
      <c r="C58" s="65">
        <v>5066</v>
      </c>
      <c r="D58" s="26">
        <v>20</v>
      </c>
      <c r="E58" s="26">
        <v>17</v>
      </c>
      <c r="F58" s="28">
        <v>-563</v>
      </c>
      <c r="G58" s="62">
        <f t="shared" si="30"/>
        <v>-0.11113304382155546</v>
      </c>
      <c r="I58" s="26">
        <v>15</v>
      </c>
      <c r="J58" s="26">
        <v>17</v>
      </c>
      <c r="K58" s="28">
        <v>-1496</v>
      </c>
      <c r="L58" s="62">
        <f t="shared" si="28"/>
        <v>-0.29530201342281881</v>
      </c>
      <c r="N58" s="67">
        <f>E58+J58</f>
        <v>34</v>
      </c>
      <c r="P58" s="26">
        <v>14</v>
      </c>
      <c r="Q58" s="26">
        <v>16</v>
      </c>
      <c r="R58" s="28">
        <v>155</v>
      </c>
      <c r="S58" s="62">
        <f t="shared" si="29"/>
        <v>3.0596131069877616E-2</v>
      </c>
      <c r="U58" s="26">
        <v>27</v>
      </c>
      <c r="V58" s="26">
        <v>26</v>
      </c>
      <c r="W58" s="28">
        <v>1451</v>
      </c>
      <c r="X58" s="62">
        <f t="shared" si="31"/>
        <v>0.28641926569285431</v>
      </c>
      <c r="Z58" s="26">
        <v>14</v>
      </c>
      <c r="AA58" s="26">
        <v>18</v>
      </c>
      <c r="AB58" s="28">
        <v>441</v>
      </c>
      <c r="AC58" s="62">
        <f t="shared" si="26"/>
        <v>8.7050927753651794E-2</v>
      </c>
      <c r="AI58" s="53">
        <v>19</v>
      </c>
      <c r="AJ58" s="46">
        <v>18</v>
      </c>
      <c r="AK58" s="46">
        <v>12</v>
      </c>
      <c r="AL58">
        <v>26</v>
      </c>
      <c r="AM58">
        <v>16</v>
      </c>
      <c r="AN58" s="51">
        <f t="shared" si="1"/>
        <v>-0.5</v>
      </c>
      <c r="AO58" s="28">
        <f t="shared" si="2"/>
        <v>-2</v>
      </c>
      <c r="AP58" s="28">
        <f t="shared" si="3"/>
        <v>3</v>
      </c>
      <c r="AQ58" s="28">
        <f>AVERAGE(U58:V58)-AL58</f>
        <v>0.5</v>
      </c>
      <c r="AR58" s="28">
        <f>AVERAGE(Z58:AA58)-AM58</f>
        <v>0</v>
      </c>
    </row>
    <row r="59" spans="1:65" x14ac:dyDescent="0.25">
      <c r="F59" s="28"/>
      <c r="G59" s="28"/>
      <c r="R59" s="28"/>
      <c r="S59" s="28"/>
      <c r="W59" s="28"/>
    </row>
    <row r="60" spans="1:65" x14ac:dyDescent="0.25">
      <c r="C60" s="66"/>
      <c r="F60" s="28"/>
      <c r="G60" s="28"/>
      <c r="R60" s="28"/>
      <c r="S60" s="28"/>
      <c r="W60" s="28"/>
    </row>
    <row r="61" spans="1:65" x14ac:dyDescent="0.25">
      <c r="F61" s="28"/>
      <c r="G61" s="28"/>
      <c r="R61" s="28"/>
      <c r="S61" s="28"/>
    </row>
    <row r="62" spans="1:65" x14ac:dyDescent="0.25">
      <c r="C62" s="66"/>
      <c r="F62" s="28"/>
      <c r="G62" s="28"/>
      <c r="R62" s="28"/>
      <c r="S62" s="28"/>
    </row>
    <row r="63" spans="1:65" x14ac:dyDescent="0.25">
      <c r="F63" s="28"/>
      <c r="G63" s="28"/>
      <c r="R63" s="28"/>
      <c r="S63" s="28"/>
    </row>
    <row r="64" spans="1:65" x14ac:dyDescent="0.25">
      <c r="F64" s="28"/>
      <c r="G64" s="28"/>
      <c r="R64" s="28"/>
      <c r="S64" s="28"/>
    </row>
    <row r="65" spans="6:19" x14ac:dyDescent="0.25">
      <c r="F65" s="28"/>
      <c r="G65" s="28"/>
      <c r="R65" s="28"/>
      <c r="S65" s="28"/>
    </row>
    <row r="66" spans="6:19" x14ac:dyDescent="0.25">
      <c r="F66" s="28"/>
      <c r="G66" s="28"/>
    </row>
  </sheetData>
  <mergeCells count="16">
    <mergeCell ref="AI4:AM4"/>
    <mergeCell ref="AN4:AR4"/>
    <mergeCell ref="BK3:BM3"/>
    <mergeCell ref="B4:B5"/>
    <mergeCell ref="BE3:BG3"/>
    <mergeCell ref="AZ4:BA4"/>
    <mergeCell ref="AV3:BC3"/>
    <mergeCell ref="AV4:AW4"/>
    <mergeCell ref="AT4:AT5"/>
    <mergeCell ref="AX4:AY4"/>
    <mergeCell ref="BB4:BC4"/>
    <mergeCell ref="D4:F4"/>
    <mergeCell ref="I4:K4"/>
    <mergeCell ref="P4:R4"/>
    <mergeCell ref="U4:W4"/>
    <mergeCell ref="Z4:AB4"/>
  </mergeCells>
  <phoneticPr fontId="0" type="noConversion"/>
  <conditionalFormatting sqref="G7:G9 F10:G10 G11:G15 F16:G66">
    <cfRule type="cellIs" dxfId="39" priority="113" stopIfTrue="1" operator="lessThan">
      <formula>0</formula>
    </cfRule>
    <cfRule type="cellIs" dxfId="38" priority="114" stopIfTrue="1" operator="greaterThan">
      <formula>0</formula>
    </cfRule>
  </conditionalFormatting>
  <conditionalFormatting sqref="K16:L58">
    <cfRule type="cellIs" dxfId="37" priority="3" stopIfTrue="1" operator="lessThan">
      <formula>0</formula>
    </cfRule>
    <cfRule type="cellIs" dxfId="36" priority="4" stopIfTrue="1" operator="greaterThan">
      <formula>0</formula>
    </cfRule>
  </conditionalFormatting>
  <conditionalFormatting sqref="L7:L9 K10:L10 L11:L15">
    <cfRule type="cellIs" dxfId="35" priority="61" stopIfTrue="1" operator="lessThan">
      <formula>0</formula>
    </cfRule>
    <cfRule type="cellIs" dxfId="34" priority="62" stopIfTrue="1" operator="greaterThan">
      <formula>0</formula>
    </cfRule>
  </conditionalFormatting>
  <conditionalFormatting sqref="R16:S65">
    <cfRule type="cellIs" dxfId="33" priority="15" stopIfTrue="1" operator="lessThan">
      <formula>0</formula>
    </cfRule>
    <cfRule type="cellIs" dxfId="32" priority="16" stopIfTrue="1" operator="greaterThan">
      <formula>0</formula>
    </cfRule>
  </conditionalFormatting>
  <conditionalFormatting sqref="S7:S9 R10:S10 S11:S15">
    <cfRule type="cellIs" dxfId="31" priority="57" stopIfTrue="1" operator="lessThan">
      <formula>0</formula>
    </cfRule>
    <cfRule type="cellIs" dxfId="30" priority="58" stopIfTrue="1" operator="greaterThan">
      <formula>0</formula>
    </cfRule>
  </conditionalFormatting>
  <conditionalFormatting sqref="W55:W60">
    <cfRule type="cellIs" dxfId="29" priority="11" stopIfTrue="1" operator="lessThan">
      <formula>0</formula>
    </cfRule>
    <cfRule type="cellIs" dxfId="28" priority="12" stopIfTrue="1" operator="greaterThan">
      <formula>0</formula>
    </cfRule>
  </conditionalFormatting>
  <conditionalFormatting sqref="W44:X53">
    <cfRule type="cellIs" dxfId="27" priority="73" stopIfTrue="1" operator="lessThan">
      <formula>0</formula>
    </cfRule>
    <cfRule type="cellIs" dxfId="26" priority="74" stopIfTrue="1" operator="greaterThan">
      <formula>0</formula>
    </cfRule>
  </conditionalFormatting>
  <conditionalFormatting sqref="X57:X58">
    <cfRule type="cellIs" dxfId="25" priority="27" stopIfTrue="1" operator="lessThan">
      <formula>0</formula>
    </cfRule>
    <cfRule type="cellIs" dxfId="24" priority="28" stopIfTrue="1" operator="greaterThan">
      <formula>0</formula>
    </cfRule>
  </conditionalFormatting>
  <conditionalFormatting sqref="AB22:AC58">
    <cfRule type="cellIs" dxfId="23" priority="2" stopIfTrue="1" operator="greaterThan">
      <formula>0</formula>
    </cfRule>
    <cfRule type="cellIs" dxfId="22" priority="1" stopIfTrue="1" operator="lessThan">
      <formula>0</formula>
    </cfRule>
  </conditionalFormatting>
  <conditionalFormatting sqref="AE54:AF54">
    <cfRule type="cellIs" dxfId="21" priority="119" stopIfTrue="1" operator="lessThan">
      <formula>0</formula>
    </cfRule>
    <cfRule type="cellIs" dxfId="20" priority="120" stopIfTrue="1" operator="greaterThan">
      <formula>0</formula>
    </cfRule>
  </conditionalFormatting>
  <conditionalFormatting sqref="AE21:AG51">
    <cfRule type="cellIs" dxfId="19" priority="175" stopIfTrue="1" operator="lessThan">
      <formula>0</formula>
    </cfRule>
    <cfRule type="cellIs" dxfId="18" priority="176" stopIfTrue="1" operator="greaterThan">
      <formula>0</formula>
    </cfRule>
  </conditionalFormatting>
  <conditionalFormatting sqref="AN15:AR58">
    <cfRule type="cellIs" dxfId="17" priority="21" stopIfTrue="1" operator="lessThan">
      <formula>0</formula>
    </cfRule>
    <cfRule type="cellIs" dxfId="16" priority="22" stopIfTrue="1" operator="greaterThan">
      <formula>0</formula>
    </cfRule>
  </conditionalFormatting>
  <conditionalFormatting sqref="AT17:AT52">
    <cfRule type="cellIs" dxfId="15" priority="139" stopIfTrue="1" operator="lessThan">
      <formula>0</formula>
    </cfRule>
    <cfRule type="cellIs" dxfId="14" priority="140" stopIfTrue="1" operator="greaterThan">
      <formula>0</formula>
    </cfRule>
  </conditionalFormatting>
  <conditionalFormatting sqref="AW32:AW51">
    <cfRule type="cellIs" dxfId="13" priority="169" stopIfTrue="1" operator="lessThan">
      <formula>0</formula>
    </cfRule>
    <cfRule type="cellIs" dxfId="12" priority="170" stopIfTrue="1" operator="greaterThan">
      <formula>0</formula>
    </cfRule>
  </conditionalFormatting>
  <conditionalFormatting sqref="AY39:AY51">
    <cfRule type="cellIs" dxfId="11" priority="167" stopIfTrue="1" operator="lessThan">
      <formula>0</formula>
    </cfRule>
    <cfRule type="cellIs" dxfId="10" priority="168" stopIfTrue="1" operator="greaterThan">
      <formula>0</formula>
    </cfRule>
  </conditionalFormatting>
  <conditionalFormatting sqref="BA32">
    <cfRule type="cellIs" dxfId="9" priority="165" stopIfTrue="1" operator="lessThan">
      <formula>0</formula>
    </cfRule>
    <cfRule type="cellIs" dxfId="8" priority="166" stopIfTrue="1" operator="greaterThan">
      <formula>0</formula>
    </cfRule>
  </conditionalFormatting>
  <conditionalFormatting sqref="BA39:BA52">
    <cfRule type="cellIs" dxfId="7" priority="155" stopIfTrue="1" operator="lessThan">
      <formula>0</formula>
    </cfRule>
    <cfRule type="cellIs" dxfId="6" priority="156" stopIfTrue="1" operator="greaterThan">
      <formula>0</formula>
    </cfRule>
  </conditionalFormatting>
  <conditionalFormatting sqref="BC47:BC52">
    <cfRule type="cellIs" dxfId="5" priority="161" stopIfTrue="1" operator="lessThan">
      <formula>0</formula>
    </cfRule>
    <cfRule type="cellIs" dxfId="4" priority="162" stopIfTrue="1" operator="greaterThan">
      <formula>0</formula>
    </cfRule>
  </conditionalFormatting>
  <conditionalFormatting sqref="BE36:BI57">
    <cfRule type="cellIs" dxfId="3" priority="131" stopIfTrue="1" operator="lessThan">
      <formula>0</formula>
    </cfRule>
    <cfRule type="cellIs" dxfId="2" priority="132" stopIfTrue="1" operator="greaterThan">
      <formula>0</formula>
    </cfRule>
  </conditionalFormatting>
  <conditionalFormatting sqref="BK54:BM55">
    <cfRule type="cellIs" dxfId="1" priority="105" stopIfTrue="1" operator="lessThan">
      <formula>0</formula>
    </cfRule>
    <cfRule type="cellIs" dxfId="0" priority="106" stopIfTrue="1" operator="greaterThan">
      <formula>0</formula>
    </cfRule>
  </conditionalFormatting>
  <pageMargins left="0.74803149606299213" right="0.74803149606299213" top="0.98425196850393704" bottom="0.98425196850393704" header="0.51181102362204722" footer="0.51181102362204722"/>
  <pageSetup paperSize="9" scale="96" orientation="landscape" horizontalDpi="4294967292" r:id="rId1"/>
  <headerFooter alignWithMargins="0">
    <oddFooter>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00"/>
  <sheetViews>
    <sheetView zoomScale="90" zoomScaleNormal="90" workbookViewId="0">
      <pane xSplit="2" ySplit="2" topLeftCell="C3" activePane="bottomRight" state="frozen"/>
      <selection pane="topRight" activeCell="C1" sqref="C1"/>
      <selection pane="bottomLeft" activeCell="A3" sqref="A3"/>
      <selection pane="bottomRight" activeCell="K50" sqref="K50"/>
    </sheetView>
  </sheetViews>
  <sheetFormatPr defaultRowHeight="13.2" x14ac:dyDescent="0.25"/>
  <cols>
    <col min="2" max="2" width="13.33203125" bestFit="1" customWidth="1"/>
    <col min="10" max="10" width="1.109375" customWidth="1"/>
    <col min="11" max="11" width="5.33203125" customWidth="1"/>
    <col min="12" max="12" width="6.109375" bestFit="1" customWidth="1"/>
    <col min="13" max="13" width="1.109375" customWidth="1"/>
    <col min="21" max="21" width="1.109375" customWidth="1"/>
  </cols>
  <sheetData>
    <row r="1" spans="1:29" x14ac:dyDescent="0.25">
      <c r="A1" t="s">
        <v>73</v>
      </c>
      <c r="C1" t="s">
        <v>28</v>
      </c>
      <c r="K1" s="86" t="s">
        <v>56</v>
      </c>
      <c r="L1" s="86"/>
      <c r="N1" t="s">
        <v>25</v>
      </c>
      <c r="V1" t="s">
        <v>26</v>
      </c>
    </row>
    <row r="2" spans="1:29" x14ac:dyDescent="0.25">
      <c r="A2" t="s">
        <v>4</v>
      </c>
      <c r="B2" t="s">
        <v>72</v>
      </c>
      <c r="C2" t="s">
        <v>1</v>
      </c>
      <c r="D2" t="s">
        <v>2</v>
      </c>
      <c r="E2" t="s">
        <v>3</v>
      </c>
      <c r="F2" t="s">
        <v>7</v>
      </c>
      <c r="G2" s="9" t="s">
        <v>69</v>
      </c>
      <c r="H2" t="s">
        <v>15</v>
      </c>
      <c r="I2" t="s">
        <v>16</v>
      </c>
      <c r="J2" s="36"/>
      <c r="K2" s="86"/>
      <c r="L2" s="86"/>
      <c r="M2" s="36"/>
      <c r="N2" t="s">
        <v>1</v>
      </c>
      <c r="O2" t="s">
        <v>2</v>
      </c>
      <c r="P2" t="s">
        <v>3</v>
      </c>
      <c r="Q2" s="9" t="s">
        <v>75</v>
      </c>
      <c r="R2" t="s">
        <v>7</v>
      </c>
      <c r="S2" t="s">
        <v>15</v>
      </c>
      <c r="T2" t="s">
        <v>16</v>
      </c>
      <c r="U2" s="36"/>
      <c r="V2" t="s">
        <v>1</v>
      </c>
      <c r="W2" t="s">
        <v>2</v>
      </c>
      <c r="X2" t="s">
        <v>3</v>
      </c>
      <c r="Y2" s="9" t="s">
        <v>69</v>
      </c>
      <c r="Z2" t="s">
        <v>15</v>
      </c>
      <c r="AA2" t="s">
        <v>16</v>
      </c>
      <c r="AB2" t="s">
        <v>27</v>
      </c>
    </row>
    <row r="3" spans="1:29" x14ac:dyDescent="0.25">
      <c r="A3">
        <v>2026</v>
      </c>
      <c r="B3" t="s">
        <v>17</v>
      </c>
      <c r="G3" s="9"/>
      <c r="J3" s="36"/>
      <c r="K3" s="42"/>
      <c r="L3" s="42"/>
      <c r="M3" s="36"/>
      <c r="N3" s="19"/>
      <c r="O3" s="19"/>
      <c r="P3" s="19"/>
      <c r="Q3" s="19"/>
      <c r="R3" s="19"/>
      <c r="S3" s="19"/>
      <c r="T3" s="19"/>
      <c r="U3" s="36"/>
      <c r="V3" s="19"/>
      <c r="W3" s="19"/>
      <c r="X3" s="19"/>
      <c r="Y3" s="19"/>
      <c r="Z3" s="19"/>
      <c r="AA3" s="19"/>
      <c r="AB3" s="19"/>
      <c r="AC3">
        <f t="shared" ref="AC3:AC11" si="0">SUM(V3:AB3)</f>
        <v>0</v>
      </c>
    </row>
    <row r="4" spans="1:29" x14ac:dyDescent="0.25">
      <c r="B4" t="s">
        <v>18</v>
      </c>
      <c r="G4" s="9"/>
      <c r="J4" s="36"/>
      <c r="K4" s="42"/>
      <c r="L4" s="42"/>
      <c r="M4" s="36"/>
      <c r="N4" s="19"/>
      <c r="O4" s="19"/>
      <c r="P4" s="19"/>
      <c r="Q4" s="19"/>
      <c r="R4" s="19"/>
      <c r="S4" s="19"/>
      <c r="T4" s="19"/>
      <c r="U4" s="36"/>
      <c r="V4" s="19"/>
      <c r="W4" s="19"/>
      <c r="X4" s="19"/>
      <c r="Y4" s="19"/>
      <c r="Z4" s="19"/>
      <c r="AA4" s="19"/>
      <c r="AB4" s="19"/>
      <c r="AC4">
        <f t="shared" si="0"/>
        <v>0</v>
      </c>
    </row>
    <row r="5" spans="1:29" x14ac:dyDescent="0.25">
      <c r="B5" t="s">
        <v>19</v>
      </c>
      <c r="G5" s="9"/>
      <c r="J5" s="36"/>
      <c r="K5" s="42"/>
      <c r="L5" s="42"/>
      <c r="M5" s="36"/>
      <c r="N5" s="19"/>
      <c r="O5" s="19"/>
      <c r="P5" s="19"/>
      <c r="Q5" s="19"/>
      <c r="R5" s="19"/>
      <c r="S5" s="19"/>
      <c r="T5" s="19"/>
      <c r="U5" s="36"/>
      <c r="V5" s="19"/>
      <c r="W5" s="19"/>
      <c r="X5" s="19"/>
      <c r="Y5" s="19"/>
      <c r="Z5" s="19"/>
      <c r="AA5" s="19"/>
      <c r="AB5" s="19"/>
      <c r="AC5">
        <f t="shared" si="0"/>
        <v>0</v>
      </c>
    </row>
    <row r="6" spans="1:29" x14ac:dyDescent="0.25">
      <c r="B6" t="s">
        <v>20</v>
      </c>
      <c r="G6" s="9"/>
      <c r="J6" s="36"/>
      <c r="K6" s="42"/>
      <c r="L6" s="42"/>
      <c r="M6" s="36"/>
      <c r="N6" s="19"/>
      <c r="O6" s="19"/>
      <c r="P6" s="19"/>
      <c r="Q6" s="19"/>
      <c r="R6" s="19"/>
      <c r="S6" s="19"/>
      <c r="T6" s="19"/>
      <c r="U6" s="36"/>
      <c r="V6" s="19"/>
      <c r="W6" s="19"/>
      <c r="X6" s="19"/>
      <c r="Y6" s="19"/>
      <c r="Z6" s="19"/>
      <c r="AA6" s="19"/>
      <c r="AB6" s="19"/>
      <c r="AC6">
        <f t="shared" si="0"/>
        <v>0</v>
      </c>
    </row>
    <row r="7" spans="1:29" x14ac:dyDescent="0.25">
      <c r="B7" t="s">
        <v>21</v>
      </c>
      <c r="G7" s="9"/>
      <c r="J7" s="36"/>
      <c r="K7" s="42"/>
      <c r="L7" s="42"/>
      <c r="M7" s="36"/>
      <c r="N7" s="19"/>
      <c r="O7" s="19"/>
      <c r="P7" s="19"/>
      <c r="Q7" s="19"/>
      <c r="R7" s="19"/>
      <c r="S7" s="19"/>
      <c r="T7" s="19"/>
      <c r="U7" s="36"/>
      <c r="V7" s="19"/>
      <c r="W7" s="19"/>
      <c r="X7" s="19"/>
      <c r="Y7" s="19"/>
      <c r="Z7" s="19"/>
      <c r="AA7" s="19"/>
      <c r="AB7" s="19"/>
      <c r="AC7">
        <f t="shared" si="0"/>
        <v>0</v>
      </c>
    </row>
    <row r="8" spans="1:29" x14ac:dyDescent="0.25">
      <c r="B8" s="10" t="s">
        <v>24</v>
      </c>
      <c r="C8" s="70">
        <v>4752</v>
      </c>
      <c r="D8" s="70">
        <v>4882</v>
      </c>
      <c r="E8" s="70">
        <v>3929</v>
      </c>
      <c r="F8" s="70">
        <v>4446</v>
      </c>
      <c r="G8" s="70">
        <v>4801</v>
      </c>
      <c r="H8" s="70">
        <f t="shared" ref="H8" si="1">SUM(H3:H7)</f>
        <v>0</v>
      </c>
      <c r="J8" s="36"/>
      <c r="K8" s="21">
        <f>E8/C8</f>
        <v>0.82680976430976427</v>
      </c>
      <c r="L8" s="21">
        <f>E8/D8</f>
        <v>0.80479311757476446</v>
      </c>
      <c r="M8" s="36"/>
      <c r="N8" s="20">
        <f t="shared" ref="N8" si="2">SUM(N3:N7)</f>
        <v>0</v>
      </c>
      <c r="O8" s="20">
        <f t="shared" ref="O8" si="3">SUM(O3:O7)</f>
        <v>0</v>
      </c>
      <c r="P8" s="20">
        <f t="shared" ref="P8" si="4">SUM(P3:P7)</f>
        <v>0</v>
      </c>
      <c r="Q8" s="20">
        <f t="shared" ref="Q8" si="5">SUM(Q3:Q7)</f>
        <v>0</v>
      </c>
      <c r="R8" s="20">
        <f t="shared" ref="R8" si="6">SUM(R3:R7)</f>
        <v>0</v>
      </c>
      <c r="S8" s="20">
        <f t="shared" ref="S8" si="7">SUM(S3:S7)</f>
        <v>0</v>
      </c>
      <c r="U8" s="36"/>
      <c r="V8" s="20">
        <f>SUM(V3:V7)</f>
        <v>0</v>
      </c>
      <c r="W8" s="20">
        <f>SUM(W3:W7)</f>
        <v>0</v>
      </c>
      <c r="X8" s="20">
        <f>SUM(X3:X7)</f>
        <v>0</v>
      </c>
      <c r="Y8" s="20">
        <f>SUM(Y3:Y7)</f>
        <v>0</v>
      </c>
      <c r="Z8" s="20">
        <f>SUM(Z3:Z7)</f>
        <v>0</v>
      </c>
      <c r="AA8" s="20"/>
      <c r="AB8" s="20">
        <f>SUM(AB3:AB7)</f>
        <v>0</v>
      </c>
      <c r="AC8" s="10">
        <f t="shared" si="0"/>
        <v>0</v>
      </c>
    </row>
    <row r="9" spans="1:29" x14ac:dyDescent="0.25">
      <c r="B9" t="s">
        <v>22</v>
      </c>
      <c r="G9" s="9"/>
      <c r="J9" s="36"/>
      <c r="K9" s="42"/>
      <c r="L9" s="42"/>
      <c r="M9" s="36"/>
      <c r="O9" s="19"/>
      <c r="P9" s="19"/>
      <c r="Q9" s="19"/>
      <c r="R9" s="19"/>
      <c r="S9" s="19"/>
      <c r="T9" s="19"/>
      <c r="U9" s="36"/>
      <c r="V9" s="19"/>
      <c r="W9" s="19"/>
      <c r="X9" s="19"/>
      <c r="Y9" s="19"/>
      <c r="Z9" s="19"/>
      <c r="AA9" s="19"/>
      <c r="AB9" s="19"/>
      <c r="AC9">
        <f t="shared" si="0"/>
        <v>0</v>
      </c>
    </row>
    <row r="10" spans="1:29" x14ac:dyDescent="0.25">
      <c r="B10" t="s">
        <v>23</v>
      </c>
      <c r="G10" s="9"/>
      <c r="J10" s="36"/>
      <c r="K10" s="42"/>
      <c r="L10" s="42"/>
      <c r="M10" s="36"/>
      <c r="O10" s="19"/>
      <c r="P10" s="19"/>
      <c r="Q10" s="19"/>
      <c r="R10" s="19"/>
      <c r="S10" s="19"/>
      <c r="T10" s="19"/>
      <c r="U10" s="36"/>
      <c r="V10" s="19"/>
      <c r="W10" s="19"/>
      <c r="X10" s="19"/>
      <c r="Y10" s="19"/>
      <c r="Z10" s="19"/>
      <c r="AA10" s="19"/>
      <c r="AB10" s="19"/>
      <c r="AC10">
        <f t="shared" si="0"/>
        <v>0</v>
      </c>
    </row>
    <row r="11" spans="1:29" x14ac:dyDescent="0.25">
      <c r="B11" t="s">
        <v>14</v>
      </c>
      <c r="C11" s="19">
        <f t="shared" ref="C11:H11" si="8">C8+C9+C10</f>
        <v>4752</v>
      </c>
      <c r="D11" s="19">
        <f t="shared" si="8"/>
        <v>4882</v>
      </c>
      <c r="E11" s="19">
        <f t="shared" si="8"/>
        <v>3929</v>
      </c>
      <c r="F11" s="19">
        <f t="shared" si="8"/>
        <v>4446</v>
      </c>
      <c r="G11" s="19">
        <f t="shared" si="8"/>
        <v>4801</v>
      </c>
      <c r="H11" s="19">
        <f t="shared" si="8"/>
        <v>0</v>
      </c>
      <c r="J11" s="36"/>
      <c r="K11" s="42"/>
      <c r="L11" s="42"/>
      <c r="M11" s="36"/>
      <c r="N11" s="69">
        <f t="shared" ref="N11" si="9">N8+N9+N10</f>
        <v>0</v>
      </c>
      <c r="O11" s="69">
        <f t="shared" ref="O11" si="10">O8+O9+O10</f>
        <v>0</v>
      </c>
      <c r="P11" s="69">
        <f t="shared" ref="P11" si="11">P8+P9+P10</f>
        <v>0</v>
      </c>
      <c r="Q11" s="69">
        <f t="shared" ref="Q11" si="12">Q8+Q9+Q10</f>
        <v>0</v>
      </c>
      <c r="R11" s="69">
        <f t="shared" ref="R11" si="13">R8+R9+R10</f>
        <v>0</v>
      </c>
      <c r="S11" s="69">
        <f t="shared" ref="S11" si="14">S8+S9+S10</f>
        <v>0</v>
      </c>
      <c r="T11" s="69">
        <f t="shared" ref="T11" si="15">T8+T9+T10</f>
        <v>0</v>
      </c>
      <c r="U11" s="36"/>
      <c r="V11" s="17">
        <f t="shared" ref="V11:AB11" si="16">V8+V9+V10</f>
        <v>0</v>
      </c>
      <c r="W11" s="17">
        <f t="shared" si="16"/>
        <v>0</v>
      </c>
      <c r="X11" s="17">
        <f t="shared" si="16"/>
        <v>0</v>
      </c>
      <c r="Y11" s="17">
        <f t="shared" si="16"/>
        <v>0</v>
      </c>
      <c r="Z11" s="17">
        <f t="shared" si="16"/>
        <v>0</v>
      </c>
      <c r="AA11" s="17">
        <f t="shared" si="16"/>
        <v>0</v>
      </c>
      <c r="AB11" s="17">
        <f t="shared" si="16"/>
        <v>0</v>
      </c>
      <c r="AC11">
        <f t="shared" si="0"/>
        <v>0</v>
      </c>
    </row>
    <row r="12" spans="1:29" x14ac:dyDescent="0.25">
      <c r="B12" t="s">
        <v>74</v>
      </c>
      <c r="G12" s="9"/>
      <c r="J12" s="36"/>
      <c r="K12" s="42"/>
      <c r="L12" s="42"/>
      <c r="M12" s="36"/>
      <c r="N12" s="11" t="e">
        <f t="shared" ref="N12" si="17">N11/(SUM($N11:$T11))</f>
        <v>#DIV/0!</v>
      </c>
      <c r="O12" s="11" t="e">
        <f t="shared" ref="O12" si="18">O11/(SUM($N11:$T11))</f>
        <v>#DIV/0!</v>
      </c>
      <c r="P12" s="11" t="e">
        <f t="shared" ref="P12" si="19">P11/(SUM($N11:$T11))</f>
        <v>#DIV/0!</v>
      </c>
      <c r="Q12" s="11" t="e">
        <f t="shared" ref="Q12" si="20">Q11/(SUM($N11:$T11))</f>
        <v>#DIV/0!</v>
      </c>
      <c r="R12" s="11" t="e">
        <f t="shared" ref="R12" si="21">R11/(SUM($N11:$T11))</f>
        <v>#DIV/0!</v>
      </c>
      <c r="S12" s="11" t="e">
        <f t="shared" ref="S12" si="22">S11/(SUM($N11:$T11))</f>
        <v>#DIV/0!</v>
      </c>
      <c r="T12" s="11" t="e">
        <f t="shared" ref="T12" si="23">T11/(SUM($N11:$T11))</f>
        <v>#DIV/0!</v>
      </c>
      <c r="U12" s="36"/>
      <c r="V12" s="11" t="e">
        <f t="shared" ref="V12" si="24">V11/(SUM($V11:$AB11))</f>
        <v>#DIV/0!</v>
      </c>
      <c r="W12" s="11" t="e">
        <f t="shared" ref="W12" si="25">W11/(SUM($V11:$AB11))</f>
        <v>#DIV/0!</v>
      </c>
      <c r="X12" s="11" t="e">
        <f t="shared" ref="X12" si="26">X11/(SUM($V11:$AB11))</f>
        <v>#DIV/0!</v>
      </c>
      <c r="Y12" s="11" t="e">
        <f t="shared" ref="Y12" si="27">Y11/(SUM($V11:$AB11))</f>
        <v>#DIV/0!</v>
      </c>
      <c r="Z12" s="11" t="e">
        <f t="shared" ref="Z12" si="28">Z11/(SUM($V11:$AB11))</f>
        <v>#DIV/0!</v>
      </c>
      <c r="AA12" s="11" t="e">
        <f t="shared" ref="AA12" si="29">AA11/(SUM($V11:$AB11))</f>
        <v>#DIV/0!</v>
      </c>
      <c r="AB12" s="11" t="e">
        <f t="shared" ref="AB12" si="30">AB11/(SUM($V11:$AB11))</f>
        <v>#DIV/0!</v>
      </c>
    </row>
    <row r="13" spans="1:29" x14ac:dyDescent="0.25">
      <c r="A13">
        <v>2025</v>
      </c>
      <c r="B13" t="s">
        <v>17</v>
      </c>
      <c r="G13" s="9"/>
      <c r="J13" s="36"/>
      <c r="K13" s="42"/>
      <c r="L13" s="42"/>
      <c r="M13" s="36"/>
      <c r="N13" s="19">
        <v>395</v>
      </c>
      <c r="O13" s="19">
        <v>1108</v>
      </c>
      <c r="P13" s="19">
        <v>182</v>
      </c>
      <c r="Q13" s="19">
        <v>0</v>
      </c>
      <c r="R13" s="19">
        <v>23</v>
      </c>
      <c r="S13" s="19">
        <v>109</v>
      </c>
      <c r="T13" s="19"/>
      <c r="U13" s="36"/>
      <c r="V13" s="19">
        <v>5</v>
      </c>
      <c r="W13" s="19">
        <v>21</v>
      </c>
      <c r="X13" s="19">
        <v>3</v>
      </c>
      <c r="Y13" s="19">
        <v>0</v>
      </c>
      <c r="Z13" s="19">
        <v>2</v>
      </c>
      <c r="AA13" s="19"/>
      <c r="AB13" s="19">
        <v>1</v>
      </c>
      <c r="AC13">
        <f t="shared" ref="AC13:AC21" si="31">SUM(V13:AB13)</f>
        <v>32</v>
      </c>
    </row>
    <row r="14" spans="1:29" x14ac:dyDescent="0.25">
      <c r="B14" t="s">
        <v>18</v>
      </c>
      <c r="C14">
        <v>38</v>
      </c>
      <c r="D14">
        <v>55</v>
      </c>
      <c r="E14">
        <v>14</v>
      </c>
      <c r="F14">
        <v>24</v>
      </c>
      <c r="G14" s="9">
        <v>55</v>
      </c>
      <c r="H14">
        <f>15+15</f>
        <v>30</v>
      </c>
      <c r="J14" s="36"/>
      <c r="K14" s="42"/>
      <c r="L14" s="42"/>
      <c r="M14" s="36"/>
      <c r="N14" s="19">
        <v>337</v>
      </c>
      <c r="O14" s="19">
        <v>1449</v>
      </c>
      <c r="P14" s="19">
        <v>243</v>
      </c>
      <c r="Q14" s="19">
        <v>44</v>
      </c>
      <c r="R14" s="19">
        <v>105</v>
      </c>
      <c r="S14" s="19">
        <v>213</v>
      </c>
      <c r="T14" s="19"/>
      <c r="U14" s="36"/>
      <c r="V14" s="19">
        <v>2</v>
      </c>
      <c r="W14" s="19">
        <v>25</v>
      </c>
      <c r="X14" s="19">
        <v>0</v>
      </c>
      <c r="Y14" s="19">
        <v>1</v>
      </c>
      <c r="Z14" s="19">
        <v>0</v>
      </c>
      <c r="AA14" s="19"/>
      <c r="AB14" s="19">
        <v>8</v>
      </c>
      <c r="AC14">
        <f t="shared" si="31"/>
        <v>36</v>
      </c>
    </row>
    <row r="15" spans="1:29" x14ac:dyDescent="0.25">
      <c r="B15" t="s">
        <v>19</v>
      </c>
      <c r="C15">
        <v>639</v>
      </c>
      <c r="D15">
        <v>572</v>
      </c>
      <c r="E15">
        <v>548</v>
      </c>
      <c r="F15">
        <v>343</v>
      </c>
      <c r="G15" s="9">
        <v>661</v>
      </c>
      <c r="H15">
        <f>200+66</f>
        <v>266</v>
      </c>
      <c r="J15" s="36"/>
      <c r="K15" s="42"/>
      <c r="L15" s="42"/>
      <c r="M15" s="36"/>
      <c r="N15" s="19">
        <v>885</v>
      </c>
      <c r="O15" s="19">
        <v>1150</v>
      </c>
      <c r="P15" s="19">
        <v>760</v>
      </c>
      <c r="Q15" s="19">
        <v>248</v>
      </c>
      <c r="R15" s="19">
        <v>144</v>
      </c>
      <c r="S15" s="19">
        <v>441</v>
      </c>
      <c r="T15" s="19"/>
      <c r="U15" s="36"/>
      <c r="V15" s="19">
        <v>1</v>
      </c>
      <c r="W15" s="19">
        <v>22</v>
      </c>
      <c r="X15" s="19">
        <v>8</v>
      </c>
      <c r="Y15" s="19">
        <v>3</v>
      </c>
      <c r="Z15" s="19">
        <v>1</v>
      </c>
      <c r="AA15" s="19"/>
      <c r="AB15" s="19">
        <v>28</v>
      </c>
      <c r="AC15">
        <f t="shared" si="31"/>
        <v>63</v>
      </c>
    </row>
    <row r="16" spans="1:29" x14ac:dyDescent="0.25">
      <c r="B16" t="s">
        <v>20</v>
      </c>
      <c r="C16">
        <v>919</v>
      </c>
      <c r="D16">
        <v>916</v>
      </c>
      <c r="E16">
        <v>835</v>
      </c>
      <c r="F16">
        <v>818</v>
      </c>
      <c r="G16" s="9">
        <v>914</v>
      </c>
      <c r="H16">
        <f>206+214</f>
        <v>420</v>
      </c>
      <c r="J16" s="36"/>
      <c r="K16" s="42"/>
      <c r="L16" s="42"/>
      <c r="M16" s="36"/>
      <c r="N16" s="19">
        <v>470</v>
      </c>
      <c r="O16" s="19">
        <v>89</v>
      </c>
      <c r="P16" s="19">
        <v>287</v>
      </c>
      <c r="Q16" s="19">
        <v>421</v>
      </c>
      <c r="R16" s="19">
        <v>81</v>
      </c>
      <c r="S16" s="19">
        <v>84</v>
      </c>
      <c r="T16" s="19"/>
      <c r="U16" s="36"/>
      <c r="V16" s="19">
        <v>6</v>
      </c>
      <c r="W16" s="19">
        <v>0</v>
      </c>
      <c r="X16" s="19">
        <v>2</v>
      </c>
      <c r="Y16" s="19">
        <v>6</v>
      </c>
      <c r="Z16" s="19">
        <v>0</v>
      </c>
      <c r="AA16" s="19"/>
      <c r="AB16" s="19">
        <v>7</v>
      </c>
      <c r="AC16">
        <f t="shared" si="31"/>
        <v>21</v>
      </c>
    </row>
    <row r="17" spans="1:29" x14ac:dyDescent="0.25">
      <c r="B17" t="s">
        <v>21</v>
      </c>
      <c r="G17" s="9"/>
      <c r="J17" s="36"/>
      <c r="K17" s="42"/>
      <c r="L17" s="42"/>
      <c r="M17" s="36"/>
      <c r="N17" s="19">
        <v>2030</v>
      </c>
      <c r="O17" s="19">
        <v>1606</v>
      </c>
      <c r="P17" s="19">
        <v>1578</v>
      </c>
      <c r="Q17" s="19">
        <v>63</v>
      </c>
      <c r="R17" s="19">
        <v>492</v>
      </c>
      <c r="S17" s="19">
        <v>1023</v>
      </c>
      <c r="T17" s="19"/>
      <c r="U17" s="36"/>
      <c r="V17" s="19">
        <v>21</v>
      </c>
      <c r="W17" s="19">
        <v>31</v>
      </c>
      <c r="X17" s="19">
        <v>27</v>
      </c>
      <c r="Y17" s="19">
        <v>0</v>
      </c>
      <c r="Z17" s="19">
        <v>6</v>
      </c>
      <c r="AA17" s="19"/>
      <c r="AB17" s="19">
        <v>79</v>
      </c>
      <c r="AC17">
        <f t="shared" si="31"/>
        <v>164</v>
      </c>
    </row>
    <row r="18" spans="1:29" x14ac:dyDescent="0.25">
      <c r="B18" s="10" t="s">
        <v>24</v>
      </c>
      <c r="C18" s="20">
        <f t="shared" ref="C18:H18" si="32">SUM(C13:C17)</f>
        <v>1596</v>
      </c>
      <c r="D18" s="20">
        <f t="shared" si="32"/>
        <v>1543</v>
      </c>
      <c r="E18" s="20">
        <f t="shared" si="32"/>
        <v>1397</v>
      </c>
      <c r="F18" s="20">
        <f t="shared" si="32"/>
        <v>1185</v>
      </c>
      <c r="G18" s="20">
        <f t="shared" si="32"/>
        <v>1630</v>
      </c>
      <c r="H18" s="20">
        <f t="shared" si="32"/>
        <v>716</v>
      </c>
      <c r="J18" s="36"/>
      <c r="K18" s="21">
        <f>E18/C18</f>
        <v>0.87531328320802004</v>
      </c>
      <c r="L18" s="21">
        <f>E18/D18</f>
        <v>0.90537913156189243</v>
      </c>
      <c r="M18" s="36"/>
      <c r="N18" s="20">
        <f t="shared" ref="N18:S18" si="33">SUM(N13:N17)</f>
        <v>4117</v>
      </c>
      <c r="O18" s="20">
        <f t="shared" si="33"/>
        <v>5402</v>
      </c>
      <c r="P18" s="20">
        <f t="shared" si="33"/>
        <v>3050</v>
      </c>
      <c r="Q18" s="20">
        <f t="shared" si="33"/>
        <v>776</v>
      </c>
      <c r="R18" s="20">
        <f t="shared" si="33"/>
        <v>845</v>
      </c>
      <c r="S18" s="20">
        <f t="shared" si="33"/>
        <v>1870</v>
      </c>
      <c r="U18" s="36"/>
      <c r="V18" s="20">
        <f>SUM(V13:V17)</f>
        <v>35</v>
      </c>
      <c r="W18" s="20">
        <f>SUM(W13:W17)</f>
        <v>99</v>
      </c>
      <c r="X18" s="20">
        <f>SUM(X13:X17)</f>
        <v>40</v>
      </c>
      <c r="Y18" s="20">
        <f>SUM(Y13:Y17)</f>
        <v>10</v>
      </c>
      <c r="Z18" s="20">
        <f>SUM(Z13:Z17)</f>
        <v>9</v>
      </c>
      <c r="AA18" s="20"/>
      <c r="AB18" s="20">
        <f>SUM(AB13:AB17)</f>
        <v>123</v>
      </c>
      <c r="AC18" s="10">
        <f t="shared" si="31"/>
        <v>316</v>
      </c>
    </row>
    <row r="19" spans="1:29" x14ac:dyDescent="0.25">
      <c r="B19" t="s">
        <v>22</v>
      </c>
      <c r="G19" s="9"/>
      <c r="J19" s="36"/>
      <c r="K19" s="42"/>
      <c r="L19" s="42"/>
      <c r="M19" s="36"/>
      <c r="N19">
        <v>191</v>
      </c>
      <c r="O19" s="19">
        <v>268</v>
      </c>
      <c r="P19" s="19">
        <v>86</v>
      </c>
      <c r="Q19" s="19">
        <v>10</v>
      </c>
      <c r="R19" s="19">
        <v>35</v>
      </c>
      <c r="S19" s="19">
        <v>215</v>
      </c>
      <c r="T19" s="19">
        <v>421</v>
      </c>
      <c r="U19" s="36"/>
      <c r="V19" s="19">
        <v>0</v>
      </c>
      <c r="W19" s="19">
        <v>0</v>
      </c>
      <c r="X19" s="19">
        <v>0</v>
      </c>
      <c r="Y19" s="19">
        <v>0</v>
      </c>
      <c r="Z19" s="19">
        <v>3</v>
      </c>
      <c r="AA19" s="19">
        <v>1</v>
      </c>
      <c r="AB19" s="19">
        <v>28</v>
      </c>
      <c r="AC19">
        <f t="shared" si="31"/>
        <v>32</v>
      </c>
    </row>
    <row r="20" spans="1:29" x14ac:dyDescent="0.25">
      <c r="B20" t="s">
        <v>23</v>
      </c>
      <c r="G20" s="9"/>
      <c r="J20" s="36"/>
      <c r="K20" s="42"/>
      <c r="L20" s="42"/>
      <c r="M20" s="36"/>
      <c r="N20">
        <v>109</v>
      </c>
      <c r="O20" s="19">
        <v>512</v>
      </c>
      <c r="P20" s="19">
        <v>64</v>
      </c>
      <c r="Q20" s="19">
        <v>5</v>
      </c>
      <c r="R20" s="19">
        <v>10</v>
      </c>
      <c r="S20" s="19">
        <v>334</v>
      </c>
      <c r="T20" s="19">
        <v>200</v>
      </c>
      <c r="U20" s="36"/>
      <c r="V20" s="19">
        <v>0</v>
      </c>
      <c r="W20" s="19">
        <v>8</v>
      </c>
      <c r="X20" s="19">
        <v>0</v>
      </c>
      <c r="Y20" s="19">
        <v>0</v>
      </c>
      <c r="Z20" s="19">
        <v>1</v>
      </c>
      <c r="AA20" s="19">
        <v>3</v>
      </c>
      <c r="AB20" s="19">
        <v>10</v>
      </c>
      <c r="AC20">
        <f t="shared" si="31"/>
        <v>22</v>
      </c>
    </row>
    <row r="21" spans="1:29" x14ac:dyDescent="0.25">
      <c r="B21" t="s">
        <v>14</v>
      </c>
      <c r="C21" s="19">
        <f t="shared" ref="C21:H21" si="34">C18+C19+C20</f>
        <v>1596</v>
      </c>
      <c r="D21" s="19">
        <f t="shared" si="34"/>
        <v>1543</v>
      </c>
      <c r="E21" s="19">
        <f t="shared" si="34"/>
        <v>1397</v>
      </c>
      <c r="F21" s="19">
        <f t="shared" si="34"/>
        <v>1185</v>
      </c>
      <c r="G21" s="19">
        <f t="shared" si="34"/>
        <v>1630</v>
      </c>
      <c r="H21" s="19">
        <f t="shared" si="34"/>
        <v>716</v>
      </c>
      <c r="J21" s="36"/>
      <c r="K21" s="42"/>
      <c r="L21" s="42"/>
      <c r="M21" s="36"/>
      <c r="N21" s="69">
        <f t="shared" ref="N21:T21" si="35">N18+N19+N20</f>
        <v>4417</v>
      </c>
      <c r="O21" s="69">
        <f t="shared" si="35"/>
        <v>6182</v>
      </c>
      <c r="P21" s="69">
        <f t="shared" si="35"/>
        <v>3200</v>
      </c>
      <c r="Q21" s="69">
        <f t="shared" si="35"/>
        <v>791</v>
      </c>
      <c r="R21" s="69">
        <f t="shared" si="35"/>
        <v>890</v>
      </c>
      <c r="S21" s="69">
        <f t="shared" si="35"/>
        <v>2419</v>
      </c>
      <c r="T21" s="69">
        <f t="shared" si="35"/>
        <v>621</v>
      </c>
      <c r="U21" s="36"/>
      <c r="V21" s="17">
        <f t="shared" ref="V21:AB21" si="36">V18+V19+V20</f>
        <v>35</v>
      </c>
      <c r="W21" s="17">
        <f t="shared" si="36"/>
        <v>107</v>
      </c>
      <c r="X21" s="17">
        <f t="shared" si="36"/>
        <v>40</v>
      </c>
      <c r="Y21" s="17">
        <f t="shared" si="36"/>
        <v>10</v>
      </c>
      <c r="Z21" s="17">
        <f t="shared" si="36"/>
        <v>13</v>
      </c>
      <c r="AA21" s="17">
        <f t="shared" si="36"/>
        <v>4</v>
      </c>
      <c r="AB21" s="17">
        <f t="shared" si="36"/>
        <v>161</v>
      </c>
      <c r="AC21">
        <f t="shared" si="31"/>
        <v>370</v>
      </c>
    </row>
    <row r="22" spans="1:29" x14ac:dyDescent="0.25">
      <c r="B22" t="s">
        <v>74</v>
      </c>
      <c r="G22" s="9"/>
      <c r="J22" s="36"/>
      <c r="K22" s="42"/>
      <c r="L22" s="42"/>
      <c r="M22" s="36"/>
      <c r="N22" s="11">
        <f t="shared" ref="N22:T22" si="37">N21/(SUM($N21:$T21))</f>
        <v>0.23849892008639309</v>
      </c>
      <c r="O22" s="11">
        <f t="shared" si="37"/>
        <v>0.33380129589632829</v>
      </c>
      <c r="P22" s="11">
        <f t="shared" si="37"/>
        <v>0.17278617710583152</v>
      </c>
      <c r="Q22" s="11">
        <f t="shared" si="37"/>
        <v>4.2710583153347734E-2</v>
      </c>
      <c r="R22" s="11">
        <f t="shared" si="37"/>
        <v>4.8056155507559394E-2</v>
      </c>
      <c r="S22" s="11">
        <f t="shared" si="37"/>
        <v>0.13061555075593953</v>
      </c>
      <c r="T22" s="11">
        <f t="shared" si="37"/>
        <v>3.3531317494600435E-2</v>
      </c>
      <c r="U22" s="36"/>
      <c r="V22" s="11">
        <f t="shared" ref="V22:AB22" si="38">V21/(SUM($V21:$AB21))</f>
        <v>9.45945945945946E-2</v>
      </c>
      <c r="W22" s="11">
        <f t="shared" si="38"/>
        <v>0.28918918918918918</v>
      </c>
      <c r="X22" s="11">
        <f t="shared" si="38"/>
        <v>0.10810810810810811</v>
      </c>
      <c r="Y22" s="11">
        <f t="shared" si="38"/>
        <v>2.7027027027027029E-2</v>
      </c>
      <c r="Z22" s="11">
        <f t="shared" si="38"/>
        <v>3.5135135135135137E-2</v>
      </c>
      <c r="AA22" s="11">
        <f t="shared" si="38"/>
        <v>1.0810810810810811E-2</v>
      </c>
      <c r="AB22" s="11">
        <f t="shared" si="38"/>
        <v>0.43513513513513513</v>
      </c>
    </row>
    <row r="23" spans="1:29" x14ac:dyDescent="0.25">
      <c r="A23">
        <v>2024</v>
      </c>
      <c r="B23" t="s">
        <v>17</v>
      </c>
      <c r="C23" s="22"/>
      <c r="D23" s="22"/>
      <c r="E23" s="22"/>
      <c r="F23" s="22"/>
      <c r="G23" s="22"/>
      <c r="H23" s="22"/>
      <c r="N23" s="19">
        <v>399</v>
      </c>
      <c r="O23" s="19">
        <v>1132</v>
      </c>
      <c r="P23" s="19">
        <v>181</v>
      </c>
      <c r="Q23" s="19"/>
      <c r="R23" s="19">
        <v>19</v>
      </c>
      <c r="S23" s="19">
        <v>86</v>
      </c>
      <c r="T23" s="19"/>
      <c r="V23">
        <v>5</v>
      </c>
      <c r="W23" s="19">
        <v>21</v>
      </c>
      <c r="X23" s="19">
        <v>3</v>
      </c>
      <c r="Y23" s="19"/>
      <c r="Z23" s="19">
        <v>1</v>
      </c>
      <c r="AA23" s="19"/>
      <c r="AB23" s="19">
        <v>2</v>
      </c>
      <c r="AC23">
        <f t="shared" ref="AC23:AC31" si="39">SUM(V23:AB23)</f>
        <v>32</v>
      </c>
    </row>
    <row r="24" spans="1:29" x14ac:dyDescent="0.25">
      <c r="B24" t="s">
        <v>18</v>
      </c>
      <c r="C24" s="22">
        <v>746</v>
      </c>
      <c r="D24" s="22">
        <v>811</v>
      </c>
      <c r="E24" s="22">
        <v>550</v>
      </c>
      <c r="F24" s="22">
        <v>570</v>
      </c>
      <c r="G24" s="22">
        <v>127</v>
      </c>
      <c r="H24" s="22">
        <f>203+252</f>
        <v>455</v>
      </c>
      <c r="N24" s="19">
        <v>341</v>
      </c>
      <c r="O24" s="19">
        <v>1515</v>
      </c>
      <c r="P24" s="19">
        <v>245</v>
      </c>
      <c r="Q24" s="19"/>
      <c r="R24" s="19">
        <v>107</v>
      </c>
      <c r="S24" s="19">
        <v>183</v>
      </c>
      <c r="T24" s="19"/>
      <c r="V24">
        <v>2</v>
      </c>
      <c r="W24" s="19">
        <v>27</v>
      </c>
      <c r="X24" s="19">
        <v>0</v>
      </c>
      <c r="Y24" s="19"/>
      <c r="Z24" s="19">
        <v>0</v>
      </c>
      <c r="AB24" s="19">
        <v>7</v>
      </c>
      <c r="AC24">
        <f t="shared" si="39"/>
        <v>36</v>
      </c>
    </row>
    <row r="25" spans="1:29" x14ac:dyDescent="0.25">
      <c r="B25" t="s">
        <v>19</v>
      </c>
      <c r="C25" s="22">
        <v>490</v>
      </c>
      <c r="D25" s="22">
        <v>463</v>
      </c>
      <c r="E25" s="22">
        <v>399</v>
      </c>
      <c r="F25" s="22">
        <v>270</v>
      </c>
      <c r="G25" s="22">
        <v>54</v>
      </c>
      <c r="H25" s="22">
        <f>86+143</f>
        <v>229</v>
      </c>
      <c r="N25" s="19">
        <v>1172</v>
      </c>
      <c r="O25" s="19">
        <v>1275</v>
      </c>
      <c r="P25" s="19">
        <v>712</v>
      </c>
      <c r="Q25" s="19"/>
      <c r="R25" s="19">
        <v>134</v>
      </c>
      <c r="S25" s="19">
        <v>438</v>
      </c>
      <c r="T25" s="19"/>
      <c r="V25">
        <v>7</v>
      </c>
      <c r="W25" s="19">
        <v>23</v>
      </c>
      <c r="X25" s="19">
        <v>7</v>
      </c>
      <c r="Y25" s="19"/>
      <c r="Z25" s="19">
        <v>0</v>
      </c>
      <c r="AB25" s="19">
        <v>25</v>
      </c>
      <c r="AC25">
        <f t="shared" si="39"/>
        <v>62</v>
      </c>
    </row>
    <row r="26" spans="1:29" x14ac:dyDescent="0.25">
      <c r="B26" t="s">
        <v>20</v>
      </c>
      <c r="C26" s="22"/>
      <c r="D26" s="22"/>
      <c r="E26" s="22"/>
      <c r="F26" s="22"/>
      <c r="G26" s="22"/>
      <c r="H26" s="22"/>
      <c r="N26" s="19">
        <v>900</v>
      </c>
      <c r="O26" s="19">
        <v>170</v>
      </c>
      <c r="P26" s="19">
        <v>207</v>
      </c>
      <c r="Q26" s="19"/>
      <c r="R26" s="19">
        <v>48</v>
      </c>
      <c r="S26" s="19">
        <v>99</v>
      </c>
      <c r="T26" s="19"/>
      <c r="V26">
        <v>18</v>
      </c>
      <c r="W26" s="19">
        <v>0</v>
      </c>
      <c r="X26" s="19">
        <v>0</v>
      </c>
      <c r="Y26" s="19"/>
      <c r="Z26" s="19">
        <v>0</v>
      </c>
      <c r="AB26" s="19">
        <v>3</v>
      </c>
      <c r="AC26">
        <f t="shared" si="39"/>
        <v>21</v>
      </c>
    </row>
    <row r="27" spans="1:29" x14ac:dyDescent="0.25">
      <c r="B27" t="s">
        <v>21</v>
      </c>
      <c r="C27" s="22">
        <v>1279</v>
      </c>
      <c r="D27" s="22">
        <v>1157</v>
      </c>
      <c r="E27" s="22">
        <v>859</v>
      </c>
      <c r="F27" s="22">
        <v>808</v>
      </c>
      <c r="G27" s="22">
        <v>125</v>
      </c>
      <c r="H27" s="22">
        <f>185+294</f>
        <v>479</v>
      </c>
      <c r="N27" s="19">
        <v>2050</v>
      </c>
      <c r="O27" s="19">
        <v>1691</v>
      </c>
      <c r="P27" s="19">
        <v>1605</v>
      </c>
      <c r="Q27" s="19"/>
      <c r="R27" s="19">
        <v>481</v>
      </c>
      <c r="S27" s="19">
        <v>965</v>
      </c>
      <c r="T27" s="19"/>
      <c r="V27">
        <v>22</v>
      </c>
      <c r="W27" s="19">
        <v>34</v>
      </c>
      <c r="X27" s="19">
        <v>30</v>
      </c>
      <c r="Y27" s="19"/>
      <c r="Z27" s="19">
        <v>6</v>
      </c>
      <c r="AB27" s="19">
        <v>72</v>
      </c>
      <c r="AC27">
        <f t="shared" si="39"/>
        <v>164</v>
      </c>
    </row>
    <row r="28" spans="1:29" x14ac:dyDescent="0.25">
      <c r="A28" s="10"/>
      <c r="B28" s="10" t="s">
        <v>24</v>
      </c>
      <c r="C28" s="20">
        <f t="shared" ref="C28:H28" si="40">SUM(C23:C27)</f>
        <v>2515</v>
      </c>
      <c r="D28" s="20">
        <f t="shared" si="40"/>
        <v>2431</v>
      </c>
      <c r="E28" s="20">
        <f t="shared" si="40"/>
        <v>1808</v>
      </c>
      <c r="F28" s="20">
        <f t="shared" si="40"/>
        <v>1648</v>
      </c>
      <c r="G28" s="20">
        <f t="shared" si="40"/>
        <v>306</v>
      </c>
      <c r="H28" s="20">
        <f t="shared" si="40"/>
        <v>1163</v>
      </c>
      <c r="J28" s="21"/>
      <c r="K28" s="21">
        <f>E28/C28</f>
        <v>0.71888667992047717</v>
      </c>
      <c r="L28" s="21">
        <f>E28/D28</f>
        <v>0.74372686137392019</v>
      </c>
      <c r="M28" s="21"/>
      <c r="N28" s="20">
        <f>SUM(N23:N27)</f>
        <v>4862</v>
      </c>
      <c r="O28" s="20">
        <f>SUM(O23:O27)</f>
        <v>5783</v>
      </c>
      <c r="P28" s="20">
        <f>SUM(P23:P27)</f>
        <v>2950</v>
      </c>
      <c r="Q28" s="20"/>
      <c r="R28" s="20">
        <f>SUM(R23:R27)</f>
        <v>789</v>
      </c>
      <c r="S28" s="20">
        <f>SUM(S23:S27)</f>
        <v>1771</v>
      </c>
      <c r="U28" s="21"/>
      <c r="V28" s="20">
        <f>SUM(V23:V27)</f>
        <v>54</v>
      </c>
      <c r="W28" s="20">
        <f>SUM(W23:W27)</f>
        <v>105</v>
      </c>
      <c r="X28" s="20">
        <f>SUM(X23:X27)</f>
        <v>40</v>
      </c>
      <c r="Y28" s="20"/>
      <c r="Z28" s="20">
        <f>SUM(Z23:Z27)</f>
        <v>7</v>
      </c>
      <c r="AA28" s="20"/>
      <c r="AB28" s="20">
        <f>SUM(AB23:AB27)</f>
        <v>109</v>
      </c>
      <c r="AC28" s="10">
        <f t="shared" si="39"/>
        <v>315</v>
      </c>
    </row>
    <row r="29" spans="1:29" x14ac:dyDescent="0.25">
      <c r="B29" t="s">
        <v>22</v>
      </c>
      <c r="C29" s="22"/>
      <c r="D29" s="22"/>
      <c r="E29" s="22"/>
      <c r="F29" s="22"/>
      <c r="G29" s="22"/>
      <c r="H29" s="13"/>
      <c r="I29" s="13"/>
      <c r="N29" s="19">
        <v>210</v>
      </c>
      <c r="O29" s="19">
        <v>277</v>
      </c>
      <c r="P29" s="19">
        <v>87</v>
      </c>
      <c r="Q29" s="19"/>
      <c r="R29" s="19">
        <v>36</v>
      </c>
      <c r="S29" s="19">
        <v>188</v>
      </c>
      <c r="T29" s="19">
        <v>428</v>
      </c>
      <c r="V29" s="19">
        <v>0</v>
      </c>
      <c r="W29" s="19">
        <v>1</v>
      </c>
      <c r="X29" s="19">
        <v>0</v>
      </c>
      <c r="Y29" s="19"/>
      <c r="Z29" s="19">
        <v>3</v>
      </c>
      <c r="AA29" s="19">
        <v>1</v>
      </c>
      <c r="AB29" s="19">
        <v>27</v>
      </c>
      <c r="AC29">
        <f t="shared" si="39"/>
        <v>32</v>
      </c>
    </row>
    <row r="30" spans="1:29" x14ac:dyDescent="0.25">
      <c r="B30" t="s">
        <v>23</v>
      </c>
      <c r="N30" s="19">
        <v>111</v>
      </c>
      <c r="O30" s="19">
        <v>521</v>
      </c>
      <c r="P30" s="19">
        <v>64</v>
      </c>
      <c r="Q30" s="19"/>
      <c r="R30" s="19">
        <v>10</v>
      </c>
      <c r="S30" s="19">
        <v>328</v>
      </c>
      <c r="T30" s="19">
        <v>200</v>
      </c>
      <c r="V30" s="19">
        <v>0</v>
      </c>
      <c r="W30" s="19">
        <v>8</v>
      </c>
      <c r="X30" s="19">
        <v>0</v>
      </c>
      <c r="Y30" s="19"/>
      <c r="Z30" s="19">
        <v>1</v>
      </c>
      <c r="AA30" s="19">
        <v>4</v>
      </c>
      <c r="AB30" s="19">
        <v>9</v>
      </c>
      <c r="AC30">
        <f t="shared" si="39"/>
        <v>22</v>
      </c>
    </row>
    <row r="31" spans="1:29" x14ac:dyDescent="0.25">
      <c r="B31" t="s">
        <v>14</v>
      </c>
      <c r="C31" s="19">
        <f t="shared" ref="C31:H31" si="41">C28+C29+C30</f>
        <v>2515</v>
      </c>
      <c r="D31" s="19">
        <f t="shared" si="41"/>
        <v>2431</v>
      </c>
      <c r="E31" s="19">
        <f t="shared" si="41"/>
        <v>1808</v>
      </c>
      <c r="F31" s="19">
        <f t="shared" si="41"/>
        <v>1648</v>
      </c>
      <c r="G31" s="19">
        <f t="shared" si="41"/>
        <v>306</v>
      </c>
      <c r="H31" s="19">
        <f t="shared" si="41"/>
        <v>1163</v>
      </c>
      <c r="N31" s="69">
        <f>N28+N29+N30</f>
        <v>5183</v>
      </c>
      <c r="O31" s="69">
        <f>O28+O29+O30</f>
        <v>6581</v>
      </c>
      <c r="P31" s="69">
        <f>P28+P29+P30</f>
        <v>3101</v>
      </c>
      <c r="Q31" s="69"/>
      <c r="R31" s="69">
        <f>R28+R29+R30</f>
        <v>835</v>
      </c>
      <c r="S31" s="69">
        <f>S28+S29+S30</f>
        <v>2287</v>
      </c>
      <c r="T31" s="69">
        <f>T28+T29+T30</f>
        <v>628</v>
      </c>
      <c r="V31" s="17">
        <f t="shared" ref="V31:AB31" si="42">V28+V29+V30</f>
        <v>54</v>
      </c>
      <c r="W31" s="17">
        <f t="shared" si="42"/>
        <v>114</v>
      </c>
      <c r="X31" s="17">
        <f t="shared" si="42"/>
        <v>40</v>
      </c>
      <c r="Y31" s="17"/>
      <c r="Z31" s="17">
        <f t="shared" si="42"/>
        <v>11</v>
      </c>
      <c r="AA31" s="17">
        <f t="shared" si="42"/>
        <v>5</v>
      </c>
      <c r="AB31" s="17">
        <f t="shared" si="42"/>
        <v>145</v>
      </c>
      <c r="AC31">
        <f t="shared" si="39"/>
        <v>369</v>
      </c>
    </row>
    <row r="32" spans="1:29" x14ac:dyDescent="0.25">
      <c r="B32" t="s">
        <v>74</v>
      </c>
      <c r="J32" s="36"/>
      <c r="K32" s="42"/>
      <c r="L32" s="42"/>
      <c r="M32" s="36"/>
      <c r="N32" s="11">
        <f>N31/(SUM($N31:$T31))</f>
        <v>0.27843137254901962</v>
      </c>
      <c r="O32" s="11">
        <f>O31/(SUM($N31:$T31))</f>
        <v>0.35353209777061512</v>
      </c>
      <c r="P32" s="11">
        <f>P31/(SUM($N31:$T31))</f>
        <v>0.16658608648939027</v>
      </c>
      <c r="Q32" s="11"/>
      <c r="R32" s="11">
        <f>R31/(SUM($N31:$T31))</f>
        <v>4.4856298683857106E-2</v>
      </c>
      <c r="S32" s="11">
        <f>S31/(SUM($N31:$T31))</f>
        <v>0.12285791028740263</v>
      </c>
      <c r="T32" s="11">
        <f>T31/(SUM($N31:$T31))</f>
        <v>3.3736234219715285E-2</v>
      </c>
      <c r="U32" s="36"/>
      <c r="V32" s="11">
        <f t="shared" ref="V32:AB32" si="43">V31/(SUM($V31:$AB31))</f>
        <v>0.14634146341463414</v>
      </c>
      <c r="W32" s="11">
        <f t="shared" si="43"/>
        <v>0.30894308943089432</v>
      </c>
      <c r="X32" s="11">
        <f t="shared" si="43"/>
        <v>0.10840108401084012</v>
      </c>
      <c r="Y32" s="11">
        <f t="shared" si="43"/>
        <v>0</v>
      </c>
      <c r="Z32" s="11">
        <f t="shared" si="43"/>
        <v>2.9810298102981029E-2</v>
      </c>
      <c r="AA32" s="11">
        <f t="shared" si="43"/>
        <v>1.3550135501355014E-2</v>
      </c>
      <c r="AB32" s="11">
        <f t="shared" si="43"/>
        <v>0.39295392953929537</v>
      </c>
    </row>
    <row r="33" spans="1:29" x14ac:dyDescent="0.25">
      <c r="A33">
        <v>2023</v>
      </c>
      <c r="B33" t="s">
        <v>17</v>
      </c>
      <c r="C33" s="22"/>
      <c r="D33" s="22"/>
      <c r="E33" s="22"/>
      <c r="F33" s="22"/>
      <c r="G33" s="22"/>
      <c r="H33" s="22"/>
      <c r="N33" s="19">
        <v>399</v>
      </c>
      <c r="O33" s="19">
        <v>1149</v>
      </c>
      <c r="P33" s="19">
        <v>180</v>
      </c>
      <c r="Q33" s="19"/>
      <c r="R33" s="19">
        <v>18</v>
      </c>
      <c r="S33" s="19">
        <v>71</v>
      </c>
      <c r="T33" s="19"/>
      <c r="V33">
        <v>5</v>
      </c>
      <c r="W33" s="19">
        <v>21</v>
      </c>
      <c r="X33" s="19">
        <v>3</v>
      </c>
      <c r="Y33" s="19"/>
      <c r="Z33" s="19">
        <v>1</v>
      </c>
      <c r="AB33" s="19">
        <v>2</v>
      </c>
      <c r="AC33">
        <f t="shared" ref="AC33:AC41" si="44">SUM(V33:AB33)</f>
        <v>32</v>
      </c>
    </row>
    <row r="34" spans="1:29" x14ac:dyDescent="0.25">
      <c r="B34" t="s">
        <v>18</v>
      </c>
      <c r="C34" s="22">
        <v>958</v>
      </c>
      <c r="D34" s="22">
        <v>1105</v>
      </c>
      <c r="E34" s="22">
        <v>744</v>
      </c>
      <c r="F34" s="22">
        <v>698</v>
      </c>
      <c r="G34" s="22">
        <v>93</v>
      </c>
      <c r="H34" s="22">
        <f>195+329</f>
        <v>524</v>
      </c>
      <c r="N34" s="19">
        <v>396</v>
      </c>
      <c r="O34" s="19">
        <v>1535</v>
      </c>
      <c r="P34" s="19">
        <v>241</v>
      </c>
      <c r="Q34" s="19"/>
      <c r="R34" s="19">
        <v>98</v>
      </c>
      <c r="S34" s="19">
        <v>121</v>
      </c>
      <c r="T34" s="19"/>
      <c r="V34">
        <v>3</v>
      </c>
      <c r="W34" s="19">
        <v>29</v>
      </c>
      <c r="X34" s="19">
        <v>0</v>
      </c>
      <c r="Y34" s="19"/>
      <c r="Z34" s="19">
        <v>0</v>
      </c>
      <c r="AB34" s="19">
        <v>4</v>
      </c>
      <c r="AC34">
        <f t="shared" si="44"/>
        <v>36</v>
      </c>
    </row>
    <row r="35" spans="1:29" x14ac:dyDescent="0.25">
      <c r="B35" t="s">
        <v>19</v>
      </c>
      <c r="C35" s="22">
        <v>1788</v>
      </c>
      <c r="D35" s="22">
        <v>1653</v>
      </c>
      <c r="E35" s="22">
        <v>1251</v>
      </c>
      <c r="F35" s="22">
        <v>756</v>
      </c>
      <c r="G35" s="22">
        <v>89</v>
      </c>
      <c r="H35" s="22">
        <f>506+358</f>
        <v>864</v>
      </c>
      <c r="N35" s="19">
        <v>1303</v>
      </c>
      <c r="O35" s="19">
        <v>1237</v>
      </c>
      <c r="P35" s="19">
        <v>680</v>
      </c>
      <c r="Q35" s="19"/>
      <c r="R35" s="19">
        <v>123</v>
      </c>
      <c r="S35" s="19">
        <v>388</v>
      </c>
      <c r="T35" s="19"/>
      <c r="V35">
        <v>12</v>
      </c>
      <c r="W35" s="19">
        <v>20</v>
      </c>
      <c r="X35" s="19">
        <v>6</v>
      </c>
      <c r="Y35" s="19"/>
      <c r="Z35" s="19">
        <v>0</v>
      </c>
      <c r="AB35" s="19">
        <v>24</v>
      </c>
      <c r="AC35">
        <f t="shared" si="44"/>
        <v>62</v>
      </c>
    </row>
    <row r="36" spans="1:29" x14ac:dyDescent="0.25">
      <c r="B36" t="s">
        <v>20</v>
      </c>
      <c r="C36" s="22"/>
      <c r="D36" s="22"/>
      <c r="E36" s="22"/>
      <c r="F36" s="22"/>
      <c r="G36" s="22"/>
      <c r="H36" s="22"/>
      <c r="N36" s="19">
        <v>920</v>
      </c>
      <c r="O36" s="19">
        <v>175</v>
      </c>
      <c r="P36" s="19">
        <v>200</v>
      </c>
      <c r="Q36" s="19"/>
      <c r="R36" s="19">
        <v>44</v>
      </c>
      <c r="S36" s="19">
        <v>85</v>
      </c>
      <c r="T36" s="19"/>
      <c r="V36">
        <v>19</v>
      </c>
      <c r="W36" s="19">
        <v>0</v>
      </c>
      <c r="X36" s="19">
        <v>0</v>
      </c>
      <c r="Y36" s="19"/>
      <c r="Z36" s="19">
        <v>0</v>
      </c>
      <c r="AB36" s="19">
        <v>2</v>
      </c>
      <c r="AC36">
        <f t="shared" si="44"/>
        <v>21</v>
      </c>
    </row>
    <row r="37" spans="1:29" x14ac:dyDescent="0.25">
      <c r="B37" t="s">
        <v>21</v>
      </c>
      <c r="C37" s="22">
        <v>4770</v>
      </c>
      <c r="D37" s="22">
        <v>3463</v>
      </c>
      <c r="E37" s="22">
        <v>2800</v>
      </c>
      <c r="F37" s="22">
        <v>1875</v>
      </c>
      <c r="G37" s="22">
        <v>215</v>
      </c>
      <c r="H37" s="22">
        <f>1017+751</f>
        <v>1768</v>
      </c>
      <c r="N37" s="19">
        <v>2346</v>
      </c>
      <c r="O37" s="19">
        <v>1597</v>
      </c>
      <c r="P37" s="19">
        <v>1533</v>
      </c>
      <c r="Q37" s="19"/>
      <c r="R37" s="19">
        <v>449</v>
      </c>
      <c r="S37" s="19">
        <v>893</v>
      </c>
      <c r="T37" s="19"/>
      <c r="V37">
        <v>32</v>
      </c>
      <c r="W37" s="19">
        <v>29</v>
      </c>
      <c r="X37" s="19">
        <v>28</v>
      </c>
      <c r="Y37" s="19"/>
      <c r="Z37" s="19">
        <v>5</v>
      </c>
      <c r="AB37" s="19">
        <v>70</v>
      </c>
      <c r="AC37">
        <f t="shared" si="44"/>
        <v>164</v>
      </c>
    </row>
    <row r="38" spans="1:29" x14ac:dyDescent="0.25">
      <c r="A38" s="10"/>
      <c r="B38" s="10" t="s">
        <v>24</v>
      </c>
      <c r="C38" s="20">
        <f t="shared" ref="C38:H38" si="45">SUM(C33:C37)</f>
        <v>7516</v>
      </c>
      <c r="D38" s="20">
        <f t="shared" si="45"/>
        <v>6221</v>
      </c>
      <c r="E38" s="20">
        <f t="shared" si="45"/>
        <v>4795</v>
      </c>
      <c r="F38" s="20">
        <f t="shared" si="45"/>
        <v>3329</v>
      </c>
      <c r="G38" s="20">
        <f t="shared" si="45"/>
        <v>397</v>
      </c>
      <c r="H38" s="20">
        <f t="shared" si="45"/>
        <v>3156</v>
      </c>
      <c r="J38" s="21"/>
      <c r="K38" s="21">
        <f>E38/C38</f>
        <v>0.63797232570516227</v>
      </c>
      <c r="L38" s="21">
        <f>E38/D38</f>
        <v>0.77077640250763546</v>
      </c>
      <c r="M38" s="21"/>
      <c r="N38" s="20">
        <f>SUM(N33:N37)</f>
        <v>5364</v>
      </c>
      <c r="O38" s="20">
        <f>SUM(O33:O37)</f>
        <v>5693</v>
      </c>
      <c r="P38" s="20">
        <f>SUM(P33:P37)</f>
        <v>2834</v>
      </c>
      <c r="Q38" s="20"/>
      <c r="R38" s="20">
        <f>SUM(R33:R37)</f>
        <v>732</v>
      </c>
      <c r="S38" s="20">
        <f>SUM(S33:S37)</f>
        <v>1558</v>
      </c>
      <c r="U38" s="21"/>
      <c r="V38" s="20">
        <f>SUM(V33:V37)</f>
        <v>71</v>
      </c>
      <c r="W38" s="20">
        <f>SUM(W33:W37)</f>
        <v>99</v>
      </c>
      <c r="X38" s="20">
        <f>SUM(X33:X37)</f>
        <v>37</v>
      </c>
      <c r="Y38" s="20"/>
      <c r="Z38" s="20">
        <f>SUM(Z33:Z37)</f>
        <v>6</v>
      </c>
      <c r="AA38" s="20"/>
      <c r="AB38" s="20">
        <f>SUM(AB33:AB37)</f>
        <v>102</v>
      </c>
      <c r="AC38" s="10">
        <f t="shared" si="44"/>
        <v>315</v>
      </c>
    </row>
    <row r="39" spans="1:29" x14ac:dyDescent="0.25">
      <c r="B39" t="s">
        <v>22</v>
      </c>
      <c r="C39" s="22"/>
      <c r="D39" s="22"/>
      <c r="E39" s="22"/>
      <c r="F39" s="22"/>
      <c r="G39" s="22"/>
      <c r="H39" s="13"/>
      <c r="I39" s="13"/>
      <c r="N39" s="19">
        <v>210</v>
      </c>
      <c r="O39" s="19">
        <v>278</v>
      </c>
      <c r="P39" s="19">
        <v>87</v>
      </c>
      <c r="Q39" s="19"/>
      <c r="R39" s="19">
        <v>35</v>
      </c>
      <c r="S39" s="19">
        <v>167</v>
      </c>
      <c r="T39" s="19">
        <v>449</v>
      </c>
      <c r="V39" s="19">
        <v>0</v>
      </c>
      <c r="W39" s="19">
        <v>1</v>
      </c>
      <c r="X39" s="19">
        <v>0</v>
      </c>
      <c r="Y39" s="19"/>
      <c r="Z39" s="19">
        <v>3</v>
      </c>
      <c r="AA39" s="19">
        <v>1</v>
      </c>
      <c r="AB39" s="19">
        <v>27</v>
      </c>
      <c r="AC39">
        <f t="shared" si="44"/>
        <v>32</v>
      </c>
    </row>
    <row r="40" spans="1:29" x14ac:dyDescent="0.25">
      <c r="B40" t="s">
        <v>23</v>
      </c>
      <c r="N40" s="19">
        <v>112</v>
      </c>
      <c r="O40" s="19">
        <v>524</v>
      </c>
      <c r="P40" s="19">
        <v>62</v>
      </c>
      <c r="Q40" s="19"/>
      <c r="R40" s="19">
        <v>9</v>
      </c>
      <c r="S40" s="19">
        <v>326</v>
      </c>
      <c r="T40" s="19">
        <v>201</v>
      </c>
      <c r="V40" s="19">
        <v>0</v>
      </c>
      <c r="W40" s="19">
        <v>8</v>
      </c>
      <c r="X40" s="19">
        <v>0</v>
      </c>
      <c r="Y40" s="19"/>
      <c r="Z40" s="19">
        <v>1</v>
      </c>
      <c r="AA40" s="19">
        <v>4</v>
      </c>
      <c r="AB40" s="19">
        <v>9</v>
      </c>
      <c r="AC40">
        <f t="shared" si="44"/>
        <v>22</v>
      </c>
    </row>
    <row r="41" spans="1:29" x14ac:dyDescent="0.25">
      <c r="B41" t="s">
        <v>14</v>
      </c>
      <c r="C41" s="19">
        <f t="shared" ref="C41:H41" si="46">C38+C39+C40</f>
        <v>7516</v>
      </c>
      <c r="D41" s="19">
        <f t="shared" si="46"/>
        <v>6221</v>
      </c>
      <c r="E41" s="19">
        <f t="shared" si="46"/>
        <v>4795</v>
      </c>
      <c r="F41" s="19">
        <f t="shared" si="46"/>
        <v>3329</v>
      </c>
      <c r="G41" s="19">
        <f t="shared" si="46"/>
        <v>397</v>
      </c>
      <c r="H41" s="19">
        <f t="shared" si="46"/>
        <v>3156</v>
      </c>
      <c r="N41" s="69">
        <f>N38+N39+N40</f>
        <v>5686</v>
      </c>
      <c r="O41" s="69">
        <f>O38+O39+O40</f>
        <v>6495</v>
      </c>
      <c r="P41" s="69">
        <f>P38+P39+P40</f>
        <v>2983</v>
      </c>
      <c r="Q41" s="69"/>
      <c r="R41" s="69">
        <f>R38+R39+R40</f>
        <v>776</v>
      </c>
      <c r="S41" s="69">
        <f>S38+S39+S40</f>
        <v>2051</v>
      </c>
      <c r="T41" s="69">
        <f>T38+T39+T40</f>
        <v>650</v>
      </c>
      <c r="V41" s="17">
        <f t="shared" ref="V41:AB41" si="47">V38+V39+V40</f>
        <v>71</v>
      </c>
      <c r="W41" s="17">
        <f t="shared" si="47"/>
        <v>108</v>
      </c>
      <c r="X41" s="17">
        <f t="shared" si="47"/>
        <v>37</v>
      </c>
      <c r="Y41" s="17"/>
      <c r="Z41" s="17">
        <f t="shared" si="47"/>
        <v>10</v>
      </c>
      <c r="AA41" s="17">
        <f t="shared" si="47"/>
        <v>5</v>
      </c>
      <c r="AB41" s="17">
        <f t="shared" si="47"/>
        <v>138</v>
      </c>
      <c r="AC41">
        <f t="shared" si="44"/>
        <v>369</v>
      </c>
    </row>
    <row r="42" spans="1:29" x14ac:dyDescent="0.25">
      <c r="B42" t="s">
        <v>74</v>
      </c>
      <c r="J42" s="36"/>
      <c r="K42" s="42"/>
      <c r="L42" s="42"/>
      <c r="M42" s="36"/>
      <c r="N42" s="11">
        <f>N41/(SUM($N41:$T41))</f>
        <v>0.30502655436940079</v>
      </c>
      <c r="O42" s="11">
        <f>O41/(SUM($N41:$T41))</f>
        <v>0.34842551365270102</v>
      </c>
      <c r="P42" s="11">
        <f>P41/(SUM($N41:$T41))</f>
        <v>0.16002360388391182</v>
      </c>
      <c r="Q42" s="11"/>
      <c r="R42" s="11">
        <f>R41/(SUM($N41:$T41))</f>
        <v>4.1628667989914707E-2</v>
      </c>
      <c r="S42" s="11">
        <f>S41/(SUM($N41:$T41))</f>
        <v>0.11002628614344724</v>
      </c>
      <c r="T42" s="11">
        <f>T41/(SUM($N41:$T41))</f>
        <v>3.4869373960624429E-2</v>
      </c>
      <c r="U42" s="36"/>
      <c r="V42" s="11">
        <f t="shared" ref="V42:AB42" si="48">V41/(SUM($V41:$AB41))</f>
        <v>0.19241192411924118</v>
      </c>
      <c r="W42" s="11">
        <f t="shared" si="48"/>
        <v>0.29268292682926828</v>
      </c>
      <c r="X42" s="11">
        <f t="shared" si="48"/>
        <v>0.1002710027100271</v>
      </c>
      <c r="Y42" s="11">
        <f t="shared" si="48"/>
        <v>0</v>
      </c>
      <c r="Z42" s="11">
        <f t="shared" si="48"/>
        <v>2.7100271002710029E-2</v>
      </c>
      <c r="AA42" s="11">
        <f t="shared" si="48"/>
        <v>1.3550135501355014E-2</v>
      </c>
      <c r="AB42" s="11">
        <f t="shared" si="48"/>
        <v>0.37398373983739835</v>
      </c>
    </row>
    <row r="43" spans="1:29" x14ac:dyDescent="0.25">
      <c r="A43">
        <v>2022</v>
      </c>
      <c r="B43" t="s">
        <v>17</v>
      </c>
      <c r="C43" s="22">
        <v>1755</v>
      </c>
      <c r="D43" s="22">
        <v>1817</v>
      </c>
      <c r="E43" s="22">
        <v>1304</v>
      </c>
      <c r="F43" s="22">
        <v>845</v>
      </c>
      <c r="G43" s="22"/>
      <c r="H43" s="22">
        <f>94+358</f>
        <v>452</v>
      </c>
      <c r="N43" s="19">
        <v>403</v>
      </c>
      <c r="O43" s="19">
        <v>1156</v>
      </c>
      <c r="P43" s="19">
        <v>181</v>
      </c>
      <c r="Q43" s="19"/>
      <c r="R43" s="19">
        <v>17</v>
      </c>
      <c r="S43" s="19">
        <v>60</v>
      </c>
      <c r="T43" s="19"/>
      <c r="V43">
        <v>5</v>
      </c>
      <c r="W43">
        <v>21</v>
      </c>
      <c r="X43">
        <v>3</v>
      </c>
      <c r="Z43">
        <v>1</v>
      </c>
      <c r="AB43">
        <v>2</v>
      </c>
      <c r="AC43">
        <f t="shared" ref="AC43:AC51" si="49">SUM(V43:AB43)</f>
        <v>32</v>
      </c>
    </row>
    <row r="44" spans="1:29" x14ac:dyDescent="0.25">
      <c r="B44" t="s">
        <v>18</v>
      </c>
      <c r="C44" s="22">
        <v>837</v>
      </c>
      <c r="D44" s="22">
        <v>909</v>
      </c>
      <c r="E44" s="22">
        <v>640</v>
      </c>
      <c r="F44" s="22">
        <v>544</v>
      </c>
      <c r="G44" s="22"/>
      <c r="H44" s="22">
        <f>119+271</f>
        <v>390</v>
      </c>
      <c r="N44" s="19">
        <v>451</v>
      </c>
      <c r="O44" s="19">
        <v>1512</v>
      </c>
      <c r="P44" s="19">
        <v>227</v>
      </c>
      <c r="Q44" s="19"/>
      <c r="R44" s="19">
        <v>83</v>
      </c>
      <c r="S44" s="19">
        <v>123</v>
      </c>
      <c r="T44" s="19"/>
      <c r="V44">
        <v>3</v>
      </c>
      <c r="W44">
        <v>29</v>
      </c>
      <c r="X44">
        <v>0</v>
      </c>
      <c r="Z44">
        <v>0</v>
      </c>
      <c r="AB44">
        <v>4</v>
      </c>
      <c r="AC44">
        <f t="shared" si="49"/>
        <v>36</v>
      </c>
    </row>
    <row r="45" spans="1:29" x14ac:dyDescent="0.25">
      <c r="B45" t="s">
        <v>19</v>
      </c>
      <c r="C45" s="22">
        <v>629</v>
      </c>
      <c r="D45" s="22">
        <v>504</v>
      </c>
      <c r="E45" s="22">
        <v>431</v>
      </c>
      <c r="F45" s="22">
        <v>283</v>
      </c>
      <c r="G45" s="22"/>
      <c r="H45" s="22">
        <f>146+130</f>
        <v>276</v>
      </c>
      <c r="N45" s="19">
        <v>1387</v>
      </c>
      <c r="O45" s="19">
        <v>1003</v>
      </c>
      <c r="P45" s="19">
        <v>470</v>
      </c>
      <c r="Q45" s="19"/>
      <c r="R45" s="19">
        <v>101</v>
      </c>
      <c r="S45" s="19">
        <v>427</v>
      </c>
      <c r="T45" s="19"/>
      <c r="V45">
        <v>19</v>
      </c>
      <c r="W45">
        <v>10</v>
      </c>
      <c r="X45">
        <v>2</v>
      </c>
      <c r="Z45">
        <v>0</v>
      </c>
      <c r="AB45">
        <v>27</v>
      </c>
      <c r="AC45">
        <f t="shared" si="49"/>
        <v>58</v>
      </c>
    </row>
    <row r="46" spans="1:29" x14ac:dyDescent="0.25">
      <c r="B46" t="s">
        <v>20</v>
      </c>
      <c r="C46" s="22"/>
      <c r="D46" s="22"/>
      <c r="E46" s="22"/>
      <c r="F46" s="22"/>
      <c r="G46" s="22"/>
      <c r="H46" s="22"/>
      <c r="N46" s="19">
        <v>1050</v>
      </c>
      <c r="O46" s="19">
        <v>217</v>
      </c>
      <c r="P46" s="19">
        <v>286</v>
      </c>
      <c r="Q46" s="19"/>
      <c r="R46" s="19">
        <v>51</v>
      </c>
      <c r="S46" s="19">
        <v>104</v>
      </c>
      <c r="T46" s="19"/>
      <c r="V46">
        <v>20</v>
      </c>
      <c r="W46">
        <v>0</v>
      </c>
      <c r="X46">
        <v>1</v>
      </c>
      <c r="Z46">
        <v>0</v>
      </c>
      <c r="AB46">
        <v>3</v>
      </c>
      <c r="AC46">
        <f t="shared" si="49"/>
        <v>24</v>
      </c>
    </row>
    <row r="47" spans="1:29" x14ac:dyDescent="0.25">
      <c r="B47" t="s">
        <v>21</v>
      </c>
      <c r="C47" s="22">
        <v>1015</v>
      </c>
      <c r="D47" s="22">
        <v>868</v>
      </c>
      <c r="E47" s="22">
        <v>724</v>
      </c>
      <c r="F47" s="22">
        <v>544</v>
      </c>
      <c r="G47" s="22"/>
      <c r="H47" s="22">
        <f>93+200</f>
        <v>293</v>
      </c>
      <c r="N47" s="19">
        <v>3464</v>
      </c>
      <c r="O47" s="19">
        <v>1320</v>
      </c>
      <c r="P47" s="19">
        <v>1376</v>
      </c>
      <c r="Q47" s="19"/>
      <c r="R47" s="19">
        <v>275</v>
      </c>
      <c r="S47" s="19">
        <v>1167</v>
      </c>
      <c r="T47" s="19"/>
      <c r="V47">
        <v>79</v>
      </c>
      <c r="W47">
        <v>18</v>
      </c>
      <c r="X47">
        <v>20</v>
      </c>
      <c r="Z47">
        <v>5</v>
      </c>
      <c r="AB47">
        <v>59</v>
      </c>
      <c r="AC47">
        <f t="shared" si="49"/>
        <v>181</v>
      </c>
    </row>
    <row r="48" spans="1:29" x14ac:dyDescent="0.25">
      <c r="A48" s="10"/>
      <c r="B48" s="10" t="s">
        <v>24</v>
      </c>
      <c r="C48" s="20">
        <f t="shared" ref="C48:H48" si="50">SUM(C43:C47)</f>
        <v>4236</v>
      </c>
      <c r="D48" s="20">
        <f t="shared" si="50"/>
        <v>4098</v>
      </c>
      <c r="E48" s="20">
        <f t="shared" si="50"/>
        <v>3099</v>
      </c>
      <c r="F48" s="20">
        <f t="shared" si="50"/>
        <v>2216</v>
      </c>
      <c r="G48" s="20">
        <f t="shared" si="50"/>
        <v>0</v>
      </c>
      <c r="H48" s="20">
        <f t="shared" si="50"/>
        <v>1411</v>
      </c>
      <c r="J48" s="21"/>
      <c r="K48" s="21">
        <f>E48/C48</f>
        <v>0.7315864022662889</v>
      </c>
      <c r="L48" s="21">
        <f>E48/D48</f>
        <v>0.75622254758418739</v>
      </c>
      <c r="M48" s="21"/>
      <c r="N48" s="20">
        <f>SUM(N43:N47)</f>
        <v>6755</v>
      </c>
      <c r="O48" s="20">
        <f>SUM(O43:O47)</f>
        <v>5208</v>
      </c>
      <c r="P48" s="20">
        <f>SUM(P43:P47)</f>
        <v>2540</v>
      </c>
      <c r="Q48" s="20"/>
      <c r="R48" s="20">
        <f>SUM(R43:R47)</f>
        <v>527</v>
      </c>
      <c r="S48" s="20">
        <f>SUM(S43:S47)</f>
        <v>1881</v>
      </c>
      <c r="U48" s="21"/>
      <c r="V48" s="20">
        <f>SUM(V43:V47)</f>
        <v>126</v>
      </c>
      <c r="W48" s="20">
        <f>SUM(W43:W47)</f>
        <v>78</v>
      </c>
      <c r="X48" s="20">
        <f>SUM(X43:X47)</f>
        <v>26</v>
      </c>
      <c r="Y48" s="20"/>
      <c r="Z48" s="20">
        <f>SUM(Z43:Z47)</f>
        <v>6</v>
      </c>
      <c r="AA48" s="20"/>
      <c r="AB48" s="20">
        <f>SUM(AB43:AB47)</f>
        <v>95</v>
      </c>
      <c r="AC48" s="10">
        <f t="shared" si="49"/>
        <v>331</v>
      </c>
    </row>
    <row r="49" spans="1:29" x14ac:dyDescent="0.25">
      <c r="B49" t="s">
        <v>22</v>
      </c>
      <c r="C49" s="22">
        <v>333</v>
      </c>
      <c r="D49" s="22">
        <v>302</v>
      </c>
      <c r="E49" s="22">
        <v>256</v>
      </c>
      <c r="F49" s="22">
        <v>239</v>
      </c>
      <c r="G49" s="22"/>
      <c r="H49" s="13">
        <f>187+111+84+88</f>
        <v>470</v>
      </c>
      <c r="I49" s="13">
        <v>337</v>
      </c>
      <c r="N49" s="19">
        <v>214</v>
      </c>
      <c r="O49" s="19">
        <v>282</v>
      </c>
      <c r="P49" s="19">
        <v>87</v>
      </c>
      <c r="Q49" s="19"/>
      <c r="R49" s="19">
        <v>35</v>
      </c>
      <c r="S49" s="19">
        <v>154</v>
      </c>
      <c r="T49" s="19">
        <v>454</v>
      </c>
      <c r="V49" s="19">
        <v>0</v>
      </c>
      <c r="W49" s="19">
        <v>1</v>
      </c>
      <c r="X49" s="19">
        <v>0</v>
      </c>
      <c r="Y49" s="19"/>
      <c r="Z49" s="19">
        <v>3</v>
      </c>
      <c r="AA49" s="19">
        <v>1</v>
      </c>
      <c r="AB49" s="19">
        <v>27</v>
      </c>
      <c r="AC49">
        <f t="shared" si="49"/>
        <v>32</v>
      </c>
    </row>
    <row r="50" spans="1:29" x14ac:dyDescent="0.25">
      <c r="B50" t="s">
        <v>23</v>
      </c>
      <c r="C50">
        <v>669</v>
      </c>
      <c r="D50">
        <v>859</v>
      </c>
      <c r="E50">
        <v>286</v>
      </c>
      <c r="F50">
        <v>117</v>
      </c>
      <c r="H50">
        <f>617+104</f>
        <v>721</v>
      </c>
      <c r="I50">
        <v>526</v>
      </c>
      <c r="N50" s="19">
        <v>112</v>
      </c>
      <c r="O50" s="19">
        <v>527</v>
      </c>
      <c r="P50" s="19">
        <v>70</v>
      </c>
      <c r="Q50" s="19"/>
      <c r="R50" s="19">
        <v>8</v>
      </c>
      <c r="S50" s="19">
        <v>314</v>
      </c>
      <c r="T50" s="19">
        <v>203</v>
      </c>
      <c r="V50" s="19">
        <v>0</v>
      </c>
      <c r="W50" s="19">
        <v>8</v>
      </c>
      <c r="X50" s="19">
        <v>0</v>
      </c>
      <c r="Y50" s="19"/>
      <c r="Z50" s="19">
        <v>1</v>
      </c>
      <c r="AA50" s="19">
        <v>4</v>
      </c>
      <c r="AB50" s="19">
        <v>9</v>
      </c>
      <c r="AC50">
        <f t="shared" si="49"/>
        <v>22</v>
      </c>
    </row>
    <row r="51" spans="1:29" x14ac:dyDescent="0.25">
      <c r="B51" t="s">
        <v>14</v>
      </c>
      <c r="C51" s="19">
        <f t="shared" ref="C51:H51" si="51">C48+C49+C50</f>
        <v>5238</v>
      </c>
      <c r="D51" s="19">
        <f t="shared" si="51"/>
        <v>5259</v>
      </c>
      <c r="E51" s="19">
        <f t="shared" si="51"/>
        <v>3641</v>
      </c>
      <c r="F51" s="19">
        <f t="shared" si="51"/>
        <v>2572</v>
      </c>
      <c r="G51" s="19">
        <f t="shared" si="51"/>
        <v>0</v>
      </c>
      <c r="H51" s="19">
        <f t="shared" si="51"/>
        <v>2602</v>
      </c>
      <c r="N51" s="69">
        <f>N48+N49+N50</f>
        <v>7081</v>
      </c>
      <c r="O51" s="69">
        <f>O48+O49+O50</f>
        <v>6017</v>
      </c>
      <c r="P51" s="69">
        <f>P48+P49+P50</f>
        <v>2697</v>
      </c>
      <c r="Q51" s="69"/>
      <c r="R51" s="69">
        <f>R48+R49+R50</f>
        <v>570</v>
      </c>
      <c r="S51" s="69">
        <f>S48+S49+S50</f>
        <v>2349</v>
      </c>
      <c r="T51" s="69">
        <f>T48+T49+T50</f>
        <v>657</v>
      </c>
      <c r="V51" s="17">
        <f t="shared" ref="V51:AB51" si="52">V48+V49+V50</f>
        <v>126</v>
      </c>
      <c r="W51" s="17">
        <f t="shared" si="52"/>
        <v>87</v>
      </c>
      <c r="X51" s="17">
        <f t="shared" si="52"/>
        <v>26</v>
      </c>
      <c r="Y51" s="17"/>
      <c r="Z51" s="17">
        <f t="shared" si="52"/>
        <v>10</v>
      </c>
      <c r="AA51" s="17">
        <f t="shared" si="52"/>
        <v>5</v>
      </c>
      <c r="AB51" s="17">
        <f t="shared" si="52"/>
        <v>131</v>
      </c>
      <c r="AC51">
        <f t="shared" si="49"/>
        <v>385</v>
      </c>
    </row>
    <row r="52" spans="1:29" x14ac:dyDescent="0.25">
      <c r="B52" t="s">
        <v>74</v>
      </c>
      <c r="J52" s="36"/>
      <c r="K52" s="42"/>
      <c r="L52" s="42"/>
      <c r="M52" s="36"/>
      <c r="N52" s="11">
        <f>N51/(SUM($N51:$T51))</f>
        <v>0.36554643539311343</v>
      </c>
      <c r="O52" s="11">
        <f>O51/(SUM($N51:$T51))</f>
        <v>0.31061896649630893</v>
      </c>
      <c r="P52" s="11">
        <f>P51/(SUM($N51:$T51))</f>
        <v>0.13922874399876103</v>
      </c>
      <c r="Q52" s="11"/>
      <c r="R52" s="11">
        <f>R51/(SUM($N51:$T51))</f>
        <v>2.9425429766145268E-2</v>
      </c>
      <c r="S52" s="11">
        <f>S51/(SUM($N51:$T51))</f>
        <v>0.12126374477311445</v>
      </c>
      <c r="T52" s="11">
        <f>T51/(SUM($N51:$T51))</f>
        <v>3.3916679572556917E-2</v>
      </c>
      <c r="U52" s="36"/>
      <c r="V52" s="11">
        <f t="shared" ref="V52:AB52" si="53">V51/(SUM($V51:$AB51))</f>
        <v>0.32727272727272727</v>
      </c>
      <c r="W52" s="11">
        <f t="shared" si="53"/>
        <v>0.22597402597402597</v>
      </c>
      <c r="X52" s="11">
        <f t="shared" si="53"/>
        <v>6.7532467532467527E-2</v>
      </c>
      <c r="Y52" s="11">
        <f t="shared" si="53"/>
        <v>0</v>
      </c>
      <c r="Z52" s="11">
        <f t="shared" si="53"/>
        <v>2.5974025974025976E-2</v>
      </c>
      <c r="AA52" s="11">
        <f t="shared" si="53"/>
        <v>1.2987012987012988E-2</v>
      </c>
      <c r="AB52" s="11">
        <f t="shared" si="53"/>
        <v>0.34025974025974026</v>
      </c>
    </row>
    <row r="53" spans="1:29" x14ac:dyDescent="0.25">
      <c r="A53">
        <v>2021</v>
      </c>
      <c r="B53" t="s">
        <v>17</v>
      </c>
      <c r="C53" s="22"/>
      <c r="D53" s="22"/>
      <c r="E53" s="22"/>
      <c r="F53" s="22"/>
      <c r="G53" s="22"/>
      <c r="H53" s="22"/>
      <c r="N53" s="19">
        <v>511</v>
      </c>
      <c r="O53" s="19">
        <v>1105</v>
      </c>
      <c r="P53" s="19">
        <v>156</v>
      </c>
      <c r="Q53" s="19"/>
      <c r="R53" s="19"/>
      <c r="S53" s="19">
        <v>61</v>
      </c>
      <c r="T53" s="19"/>
      <c r="V53">
        <v>7</v>
      </c>
      <c r="W53">
        <v>21</v>
      </c>
      <c r="X53">
        <v>3</v>
      </c>
      <c r="Z53">
        <v>0</v>
      </c>
      <c r="AB53">
        <v>1</v>
      </c>
      <c r="AC53">
        <f t="shared" ref="AC53:AC61" si="54">SUM(V53:AB53)</f>
        <v>32</v>
      </c>
    </row>
    <row r="54" spans="1:29" x14ac:dyDescent="0.25">
      <c r="B54" t="s">
        <v>18</v>
      </c>
      <c r="C54" s="22">
        <v>891</v>
      </c>
      <c r="D54" s="22">
        <v>931</v>
      </c>
      <c r="E54" s="22">
        <v>656</v>
      </c>
      <c r="F54" s="22">
        <v>665</v>
      </c>
      <c r="G54" s="22">
        <v>39</v>
      </c>
      <c r="H54" s="22">
        <f>164+364</f>
        <v>528</v>
      </c>
      <c r="N54" s="19">
        <v>476</v>
      </c>
      <c r="O54" s="19">
        <v>1532</v>
      </c>
      <c r="P54" s="19">
        <v>209</v>
      </c>
      <c r="Q54" s="19"/>
      <c r="R54" s="19"/>
      <c r="S54" s="19">
        <v>179</v>
      </c>
      <c r="T54" s="19"/>
      <c r="V54">
        <v>3</v>
      </c>
      <c r="W54">
        <v>28</v>
      </c>
      <c r="X54">
        <v>0</v>
      </c>
      <c r="Z54">
        <v>0</v>
      </c>
      <c r="AB54">
        <v>5</v>
      </c>
      <c r="AC54">
        <f t="shared" si="54"/>
        <v>36</v>
      </c>
    </row>
    <row r="55" spans="1:29" x14ac:dyDescent="0.25">
      <c r="B55" t="s">
        <v>19</v>
      </c>
      <c r="C55" s="22">
        <f>791+432</f>
        <v>1223</v>
      </c>
      <c r="D55" s="22">
        <f>625+476</f>
        <v>1101</v>
      </c>
      <c r="E55" s="22">
        <f>534+336</f>
        <v>870</v>
      </c>
      <c r="F55" s="22">
        <f>338+245</f>
        <v>583</v>
      </c>
      <c r="G55" s="22">
        <f>5+9</f>
        <v>14</v>
      </c>
      <c r="H55" s="22">
        <f>239+160+113+143</f>
        <v>655</v>
      </c>
      <c r="N55" s="19">
        <v>1435</v>
      </c>
      <c r="O55" s="19">
        <v>986</v>
      </c>
      <c r="P55" s="19">
        <v>459</v>
      </c>
      <c r="Q55" s="19"/>
      <c r="R55" s="19"/>
      <c r="S55" s="19">
        <v>506</v>
      </c>
      <c r="T55" s="19"/>
      <c r="V55">
        <v>22</v>
      </c>
      <c r="W55">
        <v>11</v>
      </c>
      <c r="X55">
        <v>1</v>
      </c>
      <c r="Z55">
        <v>0</v>
      </c>
      <c r="AB55">
        <v>24</v>
      </c>
      <c r="AC55">
        <f t="shared" si="54"/>
        <v>58</v>
      </c>
    </row>
    <row r="56" spans="1:29" x14ac:dyDescent="0.25">
      <c r="B56" t="s">
        <v>20</v>
      </c>
      <c r="C56" s="22">
        <v>1423</v>
      </c>
      <c r="D56" s="22">
        <v>1381</v>
      </c>
      <c r="E56" s="22">
        <v>1155</v>
      </c>
      <c r="F56" s="22">
        <v>967</v>
      </c>
      <c r="G56" s="22">
        <v>60</v>
      </c>
      <c r="H56" s="22">
        <f>316+411</f>
        <v>727</v>
      </c>
      <c r="N56" s="19">
        <v>1064</v>
      </c>
      <c r="O56" s="19">
        <v>206</v>
      </c>
      <c r="P56" s="19">
        <v>227</v>
      </c>
      <c r="Q56" s="19"/>
      <c r="R56" s="19"/>
      <c r="S56" s="19">
        <v>138</v>
      </c>
      <c r="T56" s="19"/>
      <c r="V56">
        <v>21</v>
      </c>
      <c r="W56">
        <v>0</v>
      </c>
      <c r="X56">
        <v>0</v>
      </c>
      <c r="Z56">
        <v>0</v>
      </c>
      <c r="AB56">
        <v>3</v>
      </c>
      <c r="AC56">
        <f t="shared" si="54"/>
        <v>24</v>
      </c>
    </row>
    <row r="57" spans="1:29" x14ac:dyDescent="0.25">
      <c r="B57" t="s">
        <v>21</v>
      </c>
      <c r="C57" s="22">
        <v>1074</v>
      </c>
      <c r="D57" s="22">
        <v>1001</v>
      </c>
      <c r="E57" s="22">
        <v>790</v>
      </c>
      <c r="F57" s="22">
        <v>593</v>
      </c>
      <c r="G57" s="22">
        <v>24</v>
      </c>
      <c r="H57" s="22">
        <f>145+229</f>
        <v>374</v>
      </c>
      <c r="N57" s="19">
        <v>3642</v>
      </c>
      <c r="O57" s="19">
        <v>1313</v>
      </c>
      <c r="P57" s="19">
        <v>1311</v>
      </c>
      <c r="Q57" s="19"/>
      <c r="R57" s="19"/>
      <c r="S57" s="19">
        <v>1344</v>
      </c>
      <c r="T57" s="19"/>
      <c r="V57">
        <v>86</v>
      </c>
      <c r="W57">
        <v>17</v>
      </c>
      <c r="X57">
        <v>18</v>
      </c>
      <c r="Z57">
        <v>5</v>
      </c>
      <c r="AB57">
        <v>55</v>
      </c>
      <c r="AC57">
        <f t="shared" si="54"/>
        <v>181</v>
      </c>
    </row>
    <row r="58" spans="1:29" x14ac:dyDescent="0.25">
      <c r="A58" s="10"/>
      <c r="B58" s="10" t="s">
        <v>24</v>
      </c>
      <c r="C58" s="20">
        <f t="shared" ref="C58:H58" si="55">SUM(C53:C57)</f>
        <v>4611</v>
      </c>
      <c r="D58" s="20">
        <f t="shared" si="55"/>
        <v>4414</v>
      </c>
      <c r="E58" s="20">
        <f t="shared" si="55"/>
        <v>3471</v>
      </c>
      <c r="F58" s="20">
        <f t="shared" si="55"/>
        <v>2808</v>
      </c>
      <c r="G58" s="20">
        <f t="shared" si="55"/>
        <v>137</v>
      </c>
      <c r="H58" s="20">
        <f t="shared" si="55"/>
        <v>2284</v>
      </c>
      <c r="J58" s="21"/>
      <c r="K58" s="21">
        <f>E58/C58</f>
        <v>0.75276512687052699</v>
      </c>
      <c r="L58" s="21">
        <f>E58/D58</f>
        <v>0.78636157680108743</v>
      </c>
      <c r="M58" s="21"/>
      <c r="N58" s="20">
        <f>SUM(N53:N57)</f>
        <v>7128</v>
      </c>
      <c r="O58" s="20">
        <f>SUM(O53:O57)</f>
        <v>5142</v>
      </c>
      <c r="P58" s="20">
        <f>SUM(P53:P57)</f>
        <v>2362</v>
      </c>
      <c r="Q58" s="20"/>
      <c r="R58" s="20"/>
      <c r="S58" s="20">
        <f>SUM(S53:S57)</f>
        <v>2228</v>
      </c>
      <c r="U58" s="21"/>
      <c r="V58" s="20">
        <f>SUM(V53:V57)</f>
        <v>139</v>
      </c>
      <c r="W58" s="20">
        <f>SUM(W53:W57)</f>
        <v>77</v>
      </c>
      <c r="X58" s="20">
        <f>SUM(X53:X57)</f>
        <v>22</v>
      </c>
      <c r="Y58" s="20"/>
      <c r="Z58" s="20">
        <f>SUM(Z53:Z57)</f>
        <v>5</v>
      </c>
      <c r="AA58" s="20"/>
      <c r="AB58" s="20">
        <f>SUM(AB53:AB57)</f>
        <v>88</v>
      </c>
      <c r="AC58" s="10">
        <f t="shared" si="54"/>
        <v>331</v>
      </c>
    </row>
    <row r="59" spans="1:29" x14ac:dyDescent="0.25">
      <c r="B59" t="s">
        <v>22</v>
      </c>
      <c r="C59" s="13"/>
      <c r="D59" s="13"/>
      <c r="E59" s="13"/>
      <c r="F59" s="13"/>
      <c r="G59" s="22"/>
      <c r="H59" s="13"/>
      <c r="I59" s="13"/>
      <c r="N59" s="19">
        <v>265</v>
      </c>
      <c r="O59" s="19">
        <v>250</v>
      </c>
      <c r="P59" s="19">
        <v>66</v>
      </c>
      <c r="Q59" s="19"/>
      <c r="R59" s="19"/>
      <c r="S59" s="19">
        <v>243</v>
      </c>
      <c r="T59" s="19">
        <v>403</v>
      </c>
      <c r="V59" s="19">
        <v>0</v>
      </c>
      <c r="W59" s="19">
        <v>0</v>
      </c>
      <c r="X59" s="19">
        <v>0</v>
      </c>
      <c r="Y59" s="19"/>
      <c r="Z59" s="19">
        <v>3</v>
      </c>
      <c r="AA59" s="19">
        <v>0</v>
      </c>
      <c r="AB59" s="19">
        <v>29</v>
      </c>
      <c r="AC59">
        <f t="shared" si="54"/>
        <v>32</v>
      </c>
    </row>
    <row r="60" spans="1:29" x14ac:dyDescent="0.25">
      <c r="B60" t="s">
        <v>23</v>
      </c>
      <c r="N60" s="19">
        <v>169</v>
      </c>
      <c r="O60" s="19">
        <v>457</v>
      </c>
      <c r="P60" s="19">
        <v>59</v>
      </c>
      <c r="Q60" s="19"/>
      <c r="R60" s="19"/>
      <c r="S60" s="19">
        <v>367</v>
      </c>
      <c r="T60" s="19">
        <v>202</v>
      </c>
      <c r="V60" s="19">
        <v>1</v>
      </c>
      <c r="W60" s="19">
        <v>7</v>
      </c>
      <c r="X60" s="19">
        <v>0</v>
      </c>
      <c r="Y60" s="19"/>
      <c r="Z60" s="19">
        <v>3</v>
      </c>
      <c r="AA60" s="19">
        <v>1</v>
      </c>
      <c r="AB60" s="19">
        <v>10</v>
      </c>
      <c r="AC60">
        <f t="shared" si="54"/>
        <v>22</v>
      </c>
    </row>
    <row r="61" spans="1:29" x14ac:dyDescent="0.25">
      <c r="B61" t="s">
        <v>14</v>
      </c>
      <c r="C61" s="19">
        <f t="shared" ref="C61:H61" si="56">C58+C59+C60</f>
        <v>4611</v>
      </c>
      <c r="D61" s="19">
        <f t="shared" si="56"/>
        <v>4414</v>
      </c>
      <c r="E61" s="19">
        <f t="shared" si="56"/>
        <v>3471</v>
      </c>
      <c r="F61" s="19">
        <f t="shared" si="56"/>
        <v>2808</v>
      </c>
      <c r="G61" s="19">
        <f t="shared" si="56"/>
        <v>137</v>
      </c>
      <c r="H61" s="19">
        <f t="shared" si="56"/>
        <v>2284</v>
      </c>
      <c r="N61" s="69">
        <f>N58+N59+N60</f>
        <v>7562</v>
      </c>
      <c r="O61" s="69">
        <f>O58+O59+O60</f>
        <v>5849</v>
      </c>
      <c r="P61" s="69">
        <f>P58+P59+P60</f>
        <v>2487</v>
      </c>
      <c r="Q61" s="69"/>
      <c r="R61" s="69"/>
      <c r="S61" s="69">
        <f>S58+S59+S60</f>
        <v>2838</v>
      </c>
      <c r="T61" s="69">
        <f>T58+T59+T60</f>
        <v>605</v>
      </c>
      <c r="V61" s="17">
        <f t="shared" ref="V61:AB61" si="57">V58+V59+V60</f>
        <v>140</v>
      </c>
      <c r="W61" s="17">
        <f t="shared" si="57"/>
        <v>84</v>
      </c>
      <c r="X61" s="17">
        <f t="shared" si="57"/>
        <v>22</v>
      </c>
      <c r="Y61" s="17"/>
      <c r="Z61" s="17">
        <f t="shared" si="57"/>
        <v>11</v>
      </c>
      <c r="AA61" s="17">
        <f t="shared" si="57"/>
        <v>1</v>
      </c>
      <c r="AB61" s="17">
        <f t="shared" si="57"/>
        <v>127</v>
      </c>
      <c r="AC61">
        <f t="shared" si="54"/>
        <v>385</v>
      </c>
    </row>
    <row r="62" spans="1:29" x14ac:dyDescent="0.25">
      <c r="B62" t="s">
        <v>74</v>
      </c>
      <c r="J62" s="36"/>
      <c r="K62" s="42"/>
      <c r="L62" s="42"/>
      <c r="M62" s="36"/>
      <c r="N62" s="11">
        <f>N61/(SUM($N61:$T61))</f>
        <v>0.39098288609689263</v>
      </c>
      <c r="O62" s="11">
        <f>O61/(SUM($N61:$T61))</f>
        <v>0.30241455974354997</v>
      </c>
      <c r="P62" s="11">
        <f>P61/(SUM($N61:$T61))</f>
        <v>0.12858693966185822</v>
      </c>
      <c r="Q62" s="11"/>
      <c r="R62" s="11"/>
      <c r="S62" s="11">
        <f>S61/(SUM($N61:$T61))</f>
        <v>0.14673491546455716</v>
      </c>
      <c r="T62" s="11">
        <f>T61/(SUM($N61:$T61))</f>
        <v>3.1280699033142033E-2</v>
      </c>
      <c r="U62" s="36"/>
      <c r="V62" s="11">
        <f t="shared" ref="V62:AB62" si="58">V61/(SUM($V61:$AB61))</f>
        <v>0.36363636363636365</v>
      </c>
      <c r="W62" s="11">
        <f t="shared" si="58"/>
        <v>0.21818181818181817</v>
      </c>
      <c r="X62" s="11">
        <f t="shared" si="58"/>
        <v>5.7142857142857141E-2</v>
      </c>
      <c r="Y62" s="11">
        <f t="shared" si="58"/>
        <v>0</v>
      </c>
      <c r="Z62" s="11">
        <f t="shared" si="58"/>
        <v>2.8571428571428571E-2</v>
      </c>
      <c r="AA62" s="11">
        <f t="shared" si="58"/>
        <v>2.5974025974025974E-3</v>
      </c>
      <c r="AB62" s="11">
        <f t="shared" si="58"/>
        <v>0.32987012987012987</v>
      </c>
    </row>
    <row r="63" spans="1:29" x14ac:dyDescent="0.25">
      <c r="A63">
        <v>2019</v>
      </c>
      <c r="B63" t="s">
        <v>17</v>
      </c>
      <c r="C63" s="22"/>
      <c r="D63" s="22"/>
      <c r="E63" s="22"/>
      <c r="F63" s="22"/>
      <c r="G63" s="22"/>
      <c r="H63" s="22"/>
      <c r="N63" s="19">
        <v>511</v>
      </c>
      <c r="O63" s="19">
        <v>1121</v>
      </c>
      <c r="P63" s="19">
        <v>154</v>
      </c>
      <c r="Q63" s="19"/>
      <c r="R63" s="19"/>
      <c r="S63" s="19">
        <v>47</v>
      </c>
      <c r="T63" s="19"/>
      <c r="V63">
        <v>7</v>
      </c>
      <c r="W63">
        <v>21</v>
      </c>
      <c r="X63">
        <v>3</v>
      </c>
      <c r="Z63">
        <v>0</v>
      </c>
      <c r="AB63">
        <v>1</v>
      </c>
      <c r="AC63">
        <f t="shared" ref="AC63:AC71" si="59">SUM(V63:AB63)</f>
        <v>32</v>
      </c>
    </row>
    <row r="64" spans="1:29" x14ac:dyDescent="0.25">
      <c r="B64" t="s">
        <v>18</v>
      </c>
      <c r="C64" s="22">
        <v>733</v>
      </c>
      <c r="D64" s="22">
        <v>732</v>
      </c>
      <c r="E64" s="22">
        <v>541</v>
      </c>
      <c r="F64" s="22">
        <v>561</v>
      </c>
      <c r="G64" s="22">
        <v>342</v>
      </c>
      <c r="H64" s="22">
        <f>133+166</f>
        <v>299</v>
      </c>
      <c r="N64" s="19">
        <v>387</v>
      </c>
      <c r="O64" s="19">
        <v>1640</v>
      </c>
      <c r="P64" s="19">
        <v>215</v>
      </c>
      <c r="Q64" s="19"/>
      <c r="R64" s="19"/>
      <c r="S64" s="19">
        <v>158</v>
      </c>
      <c r="T64" s="19"/>
      <c r="V64">
        <v>2</v>
      </c>
      <c r="W64">
        <v>30</v>
      </c>
      <c r="X64">
        <v>0</v>
      </c>
      <c r="Z64">
        <v>0</v>
      </c>
      <c r="AB64">
        <v>0</v>
      </c>
      <c r="AC64">
        <f t="shared" si="59"/>
        <v>32</v>
      </c>
    </row>
    <row r="65" spans="1:29" x14ac:dyDescent="0.25">
      <c r="B65" t="s">
        <v>19</v>
      </c>
      <c r="C65" s="22">
        <v>1809</v>
      </c>
      <c r="D65" s="22">
        <v>1706</v>
      </c>
      <c r="E65" s="22">
        <v>1075</v>
      </c>
      <c r="F65" s="22">
        <v>572</v>
      </c>
      <c r="G65" s="22">
        <v>333</v>
      </c>
      <c r="H65" s="22">
        <f>433+253</f>
        <v>686</v>
      </c>
      <c r="N65" s="19">
        <v>1136</v>
      </c>
      <c r="O65" s="19">
        <v>1048</v>
      </c>
      <c r="P65" s="19">
        <v>459</v>
      </c>
      <c r="Q65" s="19"/>
      <c r="R65" s="19"/>
      <c r="S65" s="19">
        <v>461</v>
      </c>
      <c r="T65" s="19"/>
      <c r="V65">
        <v>16</v>
      </c>
      <c r="W65">
        <v>15</v>
      </c>
      <c r="X65">
        <v>1</v>
      </c>
      <c r="Z65">
        <v>0</v>
      </c>
      <c r="AB65">
        <v>0</v>
      </c>
      <c r="AC65">
        <f t="shared" si="59"/>
        <v>32</v>
      </c>
    </row>
    <row r="66" spans="1:29" x14ac:dyDescent="0.25">
      <c r="B66" t="s">
        <v>20</v>
      </c>
      <c r="C66" s="22"/>
      <c r="D66" s="22"/>
      <c r="E66" s="22"/>
      <c r="F66" s="22"/>
      <c r="G66" s="22"/>
      <c r="H66" s="22"/>
      <c r="N66" s="19">
        <v>1150</v>
      </c>
      <c r="O66" s="19">
        <v>257</v>
      </c>
      <c r="P66" s="19">
        <v>217</v>
      </c>
      <c r="Q66" s="19"/>
      <c r="R66" s="19"/>
      <c r="S66" s="19">
        <v>117</v>
      </c>
      <c r="T66" s="19"/>
      <c r="V66">
        <v>23</v>
      </c>
      <c r="W66">
        <v>0</v>
      </c>
      <c r="X66">
        <v>0</v>
      </c>
      <c r="Z66">
        <v>0</v>
      </c>
      <c r="AB66">
        <v>0</v>
      </c>
      <c r="AC66">
        <f t="shared" si="59"/>
        <v>23</v>
      </c>
    </row>
    <row r="67" spans="1:29" x14ac:dyDescent="0.25">
      <c r="B67" t="s">
        <v>21</v>
      </c>
      <c r="C67" s="22">
        <v>5588</v>
      </c>
      <c r="D67" s="22">
        <v>4068</v>
      </c>
      <c r="E67" s="22">
        <v>2848</v>
      </c>
      <c r="F67" s="22">
        <v>1480</v>
      </c>
      <c r="G67" s="22">
        <v>710</v>
      </c>
      <c r="H67" s="22">
        <f>1036+547</f>
        <v>1583</v>
      </c>
      <c r="N67" s="19">
        <v>3874</v>
      </c>
      <c r="O67" s="19">
        <v>1552</v>
      </c>
      <c r="P67" s="19">
        <v>1361</v>
      </c>
      <c r="Q67" s="19"/>
      <c r="R67" s="19"/>
      <c r="S67" s="19">
        <v>1301</v>
      </c>
      <c r="T67" s="19"/>
      <c r="V67">
        <v>95</v>
      </c>
      <c r="W67">
        <v>25</v>
      </c>
      <c r="X67">
        <v>19</v>
      </c>
      <c r="Z67">
        <v>0</v>
      </c>
      <c r="AB67">
        <v>0</v>
      </c>
      <c r="AC67">
        <f t="shared" si="59"/>
        <v>139</v>
      </c>
    </row>
    <row r="68" spans="1:29" x14ac:dyDescent="0.25">
      <c r="A68" s="10"/>
      <c r="B68" s="10" t="s">
        <v>24</v>
      </c>
      <c r="C68" s="20">
        <f t="shared" ref="C68:H68" si="60">SUM(C63:C67)</f>
        <v>8130</v>
      </c>
      <c r="D68" s="20">
        <f t="shared" si="60"/>
        <v>6506</v>
      </c>
      <c r="E68" s="20">
        <f t="shared" si="60"/>
        <v>4464</v>
      </c>
      <c r="F68" s="20">
        <f t="shared" si="60"/>
        <v>2613</v>
      </c>
      <c r="G68" s="20">
        <f t="shared" si="60"/>
        <v>1385</v>
      </c>
      <c r="H68" s="20">
        <f t="shared" si="60"/>
        <v>2568</v>
      </c>
      <c r="J68" s="21"/>
      <c r="K68" s="21">
        <f>E68/C68</f>
        <v>0.54907749077490775</v>
      </c>
      <c r="L68" s="21">
        <f>E68/D68</f>
        <v>0.68613587457731329</v>
      </c>
      <c r="M68" s="21"/>
      <c r="N68" s="20">
        <f>SUM(N63:N67)</f>
        <v>7058</v>
      </c>
      <c r="O68" s="20">
        <f>SUM(O63:O67)</f>
        <v>5618</v>
      </c>
      <c r="P68" s="20">
        <f>SUM(P63:P67)</f>
        <v>2406</v>
      </c>
      <c r="Q68" s="20"/>
      <c r="R68" s="20"/>
      <c r="S68" s="20">
        <f>SUM(S63:S67)</f>
        <v>2084</v>
      </c>
      <c r="U68" s="21"/>
      <c r="V68" s="20">
        <f>SUM(V63:V67)</f>
        <v>143</v>
      </c>
      <c r="W68" s="20">
        <f>SUM(W63:W67)</f>
        <v>91</v>
      </c>
      <c r="X68" s="20">
        <f>SUM(X63:X67)</f>
        <v>23</v>
      </c>
      <c r="Y68" s="20"/>
      <c r="Z68" s="20">
        <v>5</v>
      </c>
      <c r="AA68" s="20"/>
      <c r="AB68" s="20">
        <v>79</v>
      </c>
      <c r="AC68" s="10">
        <f t="shared" si="59"/>
        <v>341</v>
      </c>
    </row>
    <row r="69" spans="1:29" x14ac:dyDescent="0.25">
      <c r="B69" t="s">
        <v>22</v>
      </c>
      <c r="C69" s="13"/>
      <c r="D69" s="13"/>
      <c r="E69" s="13"/>
      <c r="F69" s="13"/>
      <c r="G69" s="22"/>
      <c r="H69" s="13"/>
      <c r="I69" s="13"/>
      <c r="N69" s="19">
        <v>270</v>
      </c>
      <c r="O69" s="19">
        <v>254</v>
      </c>
      <c r="P69" s="19">
        <v>65</v>
      </c>
      <c r="Q69" s="19"/>
      <c r="R69" s="19"/>
      <c r="S69" s="19">
        <v>217</v>
      </c>
      <c r="T69" s="19">
        <v>421</v>
      </c>
      <c r="V69" s="19">
        <v>0</v>
      </c>
      <c r="W69" s="19">
        <v>0</v>
      </c>
      <c r="X69" s="19">
        <v>0</v>
      </c>
      <c r="Y69" s="19"/>
      <c r="Z69" s="19">
        <v>3</v>
      </c>
      <c r="AA69" s="19">
        <v>0</v>
      </c>
      <c r="AB69" s="19">
        <v>29</v>
      </c>
      <c r="AC69">
        <f t="shared" si="59"/>
        <v>32</v>
      </c>
    </row>
    <row r="70" spans="1:29" x14ac:dyDescent="0.25">
      <c r="B70" t="s">
        <v>23</v>
      </c>
      <c r="N70" s="19">
        <v>179</v>
      </c>
      <c r="O70" s="19">
        <v>460</v>
      </c>
      <c r="P70" s="19">
        <v>60</v>
      </c>
      <c r="Q70" s="19"/>
      <c r="R70" s="19"/>
      <c r="S70" s="19">
        <v>354</v>
      </c>
      <c r="T70" s="19">
        <v>201</v>
      </c>
      <c r="V70" s="19">
        <v>1</v>
      </c>
      <c r="W70" s="19">
        <v>7</v>
      </c>
      <c r="X70" s="19">
        <v>0</v>
      </c>
      <c r="Y70" s="19"/>
      <c r="Z70" s="19">
        <v>3</v>
      </c>
      <c r="AA70" s="19">
        <v>1</v>
      </c>
      <c r="AB70" s="19">
        <v>10</v>
      </c>
      <c r="AC70">
        <f t="shared" si="59"/>
        <v>22</v>
      </c>
    </row>
    <row r="71" spans="1:29" x14ac:dyDescent="0.25">
      <c r="B71" t="s">
        <v>14</v>
      </c>
      <c r="C71" s="19">
        <f t="shared" ref="C71:H71" si="61">C68+C69+C70</f>
        <v>8130</v>
      </c>
      <c r="D71" s="19">
        <f t="shared" si="61"/>
        <v>6506</v>
      </c>
      <c r="E71" s="19">
        <f t="shared" si="61"/>
        <v>4464</v>
      </c>
      <c r="F71" s="19">
        <f t="shared" si="61"/>
        <v>2613</v>
      </c>
      <c r="G71" s="19">
        <f t="shared" si="61"/>
        <v>1385</v>
      </c>
      <c r="H71" s="19">
        <f t="shared" si="61"/>
        <v>2568</v>
      </c>
      <c r="N71" s="69">
        <f>N68+N69+N70</f>
        <v>7507</v>
      </c>
      <c r="O71" s="69">
        <f>O68+O69+O70</f>
        <v>6332</v>
      </c>
      <c r="P71" s="69">
        <f>P68+P69+P70</f>
        <v>2531</v>
      </c>
      <c r="Q71" s="69"/>
      <c r="R71" s="69"/>
      <c r="S71" s="69">
        <f>S68+S69+S70</f>
        <v>2655</v>
      </c>
      <c r="T71" s="69">
        <f>T68+T69+T70</f>
        <v>622</v>
      </c>
      <c r="V71" s="17">
        <f t="shared" ref="V71:AB71" si="62">V68+V69+V70</f>
        <v>144</v>
      </c>
      <c r="W71" s="17">
        <f t="shared" si="62"/>
        <v>98</v>
      </c>
      <c r="X71" s="17">
        <f t="shared" si="62"/>
        <v>23</v>
      </c>
      <c r="Y71" s="17"/>
      <c r="Z71" s="17">
        <f t="shared" si="62"/>
        <v>11</v>
      </c>
      <c r="AA71" s="17">
        <f t="shared" si="62"/>
        <v>1</v>
      </c>
      <c r="AB71" s="17">
        <f t="shared" si="62"/>
        <v>118</v>
      </c>
      <c r="AC71">
        <f t="shared" si="59"/>
        <v>395</v>
      </c>
    </row>
    <row r="72" spans="1:29" x14ac:dyDescent="0.25">
      <c r="B72" t="s">
        <v>74</v>
      </c>
      <c r="J72" s="36"/>
      <c r="K72" s="42"/>
      <c r="L72" s="42"/>
      <c r="M72" s="36"/>
      <c r="N72" s="11">
        <f>N71/(SUM($N71:$T71))</f>
        <v>0.38209395836514481</v>
      </c>
      <c r="O72" s="11">
        <f>O71/(SUM($N71:$T71))</f>
        <v>0.32228839008500026</v>
      </c>
      <c r="P72" s="11">
        <f>P71/(SUM($N71:$T71))</f>
        <v>0.12882373899323052</v>
      </c>
      <c r="Q72" s="11"/>
      <c r="R72" s="11"/>
      <c r="S72" s="11">
        <f>S71/(SUM($N71:$T71))</f>
        <v>0.13513513513513514</v>
      </c>
      <c r="T72" s="11">
        <f>T71/(SUM($N71:$T71))</f>
        <v>3.1658777421489287E-2</v>
      </c>
      <c r="U72" s="36"/>
      <c r="V72" s="11">
        <f t="shared" ref="V72:AB72" si="63">V71/(SUM($V71:$AB71))</f>
        <v>0.36455696202531646</v>
      </c>
      <c r="W72" s="11">
        <f t="shared" si="63"/>
        <v>0.2481012658227848</v>
      </c>
      <c r="X72" s="11">
        <f t="shared" si="63"/>
        <v>5.8227848101265821E-2</v>
      </c>
      <c r="Y72" s="11">
        <f t="shared" si="63"/>
        <v>0</v>
      </c>
      <c r="Z72" s="11">
        <f t="shared" si="63"/>
        <v>2.7848101265822784E-2</v>
      </c>
      <c r="AA72" s="11">
        <f t="shared" si="63"/>
        <v>2.5316455696202532E-3</v>
      </c>
      <c r="AB72" s="11">
        <f t="shared" si="63"/>
        <v>0.29873417721518986</v>
      </c>
    </row>
    <row r="73" spans="1:29" x14ac:dyDescent="0.25">
      <c r="A73">
        <v>2018</v>
      </c>
      <c r="B73" t="s">
        <v>17</v>
      </c>
      <c r="C73" s="22">
        <v>1832</v>
      </c>
      <c r="D73" s="22">
        <v>1833</v>
      </c>
      <c r="E73" s="22">
        <v>1418</v>
      </c>
      <c r="F73" s="22">
        <v>866</v>
      </c>
      <c r="G73" s="22">
        <v>155</v>
      </c>
      <c r="H73" s="22">
        <f>75+328</f>
        <v>403</v>
      </c>
      <c r="N73" s="19">
        <v>511</v>
      </c>
      <c r="O73" s="19">
        <v>1125</v>
      </c>
      <c r="P73" s="19">
        <v>152</v>
      </c>
      <c r="Q73" s="19"/>
      <c r="R73" s="19"/>
      <c r="S73" s="19">
        <v>45</v>
      </c>
      <c r="T73" s="19"/>
      <c r="V73">
        <v>7</v>
      </c>
      <c r="W73">
        <v>21</v>
      </c>
      <c r="X73">
        <v>3</v>
      </c>
      <c r="Z73">
        <v>0</v>
      </c>
      <c r="AB73">
        <v>1</v>
      </c>
      <c r="AC73">
        <f t="shared" ref="AC73:AC81" si="64">SUM(V73:AB73)</f>
        <v>32</v>
      </c>
    </row>
    <row r="74" spans="1:29" x14ac:dyDescent="0.25">
      <c r="B74" t="s">
        <v>18</v>
      </c>
      <c r="C74" s="22">
        <v>1017</v>
      </c>
      <c r="D74" s="22">
        <v>1024</v>
      </c>
      <c r="E74" s="22">
        <v>789</v>
      </c>
      <c r="F74" s="22">
        <v>613</v>
      </c>
      <c r="G74" s="22">
        <v>163</v>
      </c>
      <c r="H74" s="22">
        <f>106+188</f>
        <v>294</v>
      </c>
      <c r="N74" s="19">
        <v>410</v>
      </c>
      <c r="O74" s="19">
        <v>1696</v>
      </c>
      <c r="P74" s="19">
        <v>174</v>
      </c>
      <c r="Q74" s="19"/>
      <c r="R74" s="19"/>
      <c r="S74" s="19">
        <v>120</v>
      </c>
      <c r="T74" s="19"/>
      <c r="V74">
        <v>1</v>
      </c>
      <c r="W74">
        <v>30</v>
      </c>
      <c r="X74">
        <v>0</v>
      </c>
      <c r="Z74">
        <v>0</v>
      </c>
      <c r="AB74">
        <v>5</v>
      </c>
      <c r="AC74">
        <f t="shared" si="64"/>
        <v>36</v>
      </c>
    </row>
    <row r="75" spans="1:29" x14ac:dyDescent="0.25">
      <c r="B75" t="s">
        <v>19</v>
      </c>
      <c r="C75" s="22">
        <v>356</v>
      </c>
      <c r="D75" s="22">
        <v>359</v>
      </c>
      <c r="E75" s="22">
        <v>247</v>
      </c>
      <c r="F75" s="22">
        <v>147</v>
      </c>
      <c r="G75" s="22">
        <v>104</v>
      </c>
      <c r="H75" s="22">
        <f>46+61</f>
        <v>107</v>
      </c>
      <c r="N75" s="19">
        <v>1350</v>
      </c>
      <c r="O75" s="19">
        <v>1098</v>
      </c>
      <c r="P75" s="19">
        <v>302</v>
      </c>
      <c r="Q75" s="19"/>
      <c r="R75" s="19"/>
      <c r="S75" s="19">
        <v>336</v>
      </c>
      <c r="T75" s="19"/>
      <c r="V75">
        <v>23</v>
      </c>
      <c r="W75">
        <v>20</v>
      </c>
      <c r="X75">
        <v>0</v>
      </c>
      <c r="Z75">
        <v>0</v>
      </c>
      <c r="AB75">
        <v>12</v>
      </c>
      <c r="AC75">
        <f t="shared" si="64"/>
        <v>55</v>
      </c>
    </row>
    <row r="76" spans="1:29" x14ac:dyDescent="0.25">
      <c r="B76" t="s">
        <v>20</v>
      </c>
      <c r="C76" s="22"/>
      <c r="D76" s="22"/>
      <c r="E76" s="22"/>
      <c r="F76" s="22"/>
      <c r="G76" s="22"/>
      <c r="H76" s="22"/>
      <c r="N76" s="19">
        <v>1202</v>
      </c>
      <c r="O76" s="19">
        <v>258</v>
      </c>
      <c r="P76" s="19">
        <v>224</v>
      </c>
      <c r="Q76" s="19"/>
      <c r="R76" s="19"/>
      <c r="S76" s="19">
        <v>103</v>
      </c>
      <c r="T76" s="19"/>
      <c r="V76">
        <v>24</v>
      </c>
      <c r="W76">
        <v>0</v>
      </c>
      <c r="X76">
        <v>0</v>
      </c>
      <c r="Z76">
        <v>0</v>
      </c>
      <c r="AB76">
        <v>3</v>
      </c>
      <c r="AC76">
        <f t="shared" si="64"/>
        <v>27</v>
      </c>
    </row>
    <row r="77" spans="1:29" x14ac:dyDescent="0.25">
      <c r="B77" t="s">
        <v>21</v>
      </c>
      <c r="C77" s="22">
        <v>1192</v>
      </c>
      <c r="D77" s="22">
        <v>1150</v>
      </c>
      <c r="E77" s="22">
        <v>858</v>
      </c>
      <c r="F77" s="22">
        <v>534</v>
      </c>
      <c r="G77" s="22">
        <v>229</v>
      </c>
      <c r="H77" s="22">
        <f>124+142</f>
        <v>266</v>
      </c>
      <c r="N77" s="19">
        <v>5171</v>
      </c>
      <c r="O77" s="19">
        <v>1574</v>
      </c>
      <c r="P77" s="19">
        <v>894</v>
      </c>
      <c r="Q77" s="19"/>
      <c r="R77" s="19"/>
      <c r="S77" s="19">
        <v>884</v>
      </c>
      <c r="T77" s="19"/>
      <c r="V77">
        <v>143</v>
      </c>
      <c r="W77">
        <v>27</v>
      </c>
      <c r="X77">
        <v>8</v>
      </c>
      <c r="Z77">
        <v>1</v>
      </c>
      <c r="AB77">
        <v>22</v>
      </c>
      <c r="AC77">
        <f t="shared" si="64"/>
        <v>201</v>
      </c>
    </row>
    <row r="78" spans="1:29" x14ac:dyDescent="0.25">
      <c r="A78" s="10"/>
      <c r="B78" s="10" t="s">
        <v>24</v>
      </c>
      <c r="C78" s="20">
        <f t="shared" ref="C78:H78" si="65">SUM(C73:C77)</f>
        <v>4397</v>
      </c>
      <c r="D78" s="20">
        <f t="shared" si="65"/>
        <v>4366</v>
      </c>
      <c r="E78" s="20">
        <f t="shared" si="65"/>
        <v>3312</v>
      </c>
      <c r="F78" s="20">
        <f t="shared" si="65"/>
        <v>2160</v>
      </c>
      <c r="G78" s="20">
        <f t="shared" si="65"/>
        <v>651</v>
      </c>
      <c r="H78" s="20">
        <f t="shared" si="65"/>
        <v>1070</v>
      </c>
      <c r="J78" s="21"/>
      <c r="K78" s="21">
        <f>E78/C78</f>
        <v>0.75324084603138508</v>
      </c>
      <c r="L78" s="21">
        <f>E78/D78</f>
        <v>0.75858909757214843</v>
      </c>
      <c r="M78" s="21"/>
      <c r="N78" s="20">
        <f>SUM(N73:N77)</f>
        <v>8644</v>
      </c>
      <c r="O78" s="20">
        <f>SUM(O73:O77)</f>
        <v>5751</v>
      </c>
      <c r="P78" s="20">
        <f>SUM(P73:P77)</f>
        <v>1746</v>
      </c>
      <c r="Q78" s="20"/>
      <c r="R78" s="20"/>
      <c r="S78" s="20">
        <f>SUM(S73:S77)</f>
        <v>1488</v>
      </c>
      <c r="U78" s="21"/>
      <c r="V78" s="20">
        <f>SUM(V73:V77)</f>
        <v>198</v>
      </c>
      <c r="W78" s="20">
        <f>SUM(W73:W77)</f>
        <v>98</v>
      </c>
      <c r="X78" s="20">
        <f>SUM(X73:X77)</f>
        <v>11</v>
      </c>
      <c r="Y78" s="20"/>
      <c r="Z78" s="20">
        <f>SUM(Z73:Z77)</f>
        <v>1</v>
      </c>
      <c r="AA78" s="20"/>
      <c r="AB78" s="20">
        <f>SUM(AB73:AB77)</f>
        <v>43</v>
      </c>
      <c r="AC78" s="10">
        <f t="shared" si="64"/>
        <v>351</v>
      </c>
    </row>
    <row r="79" spans="1:29" x14ac:dyDescent="0.25">
      <c r="B79" t="s">
        <v>22</v>
      </c>
      <c r="C79" s="13"/>
      <c r="D79" s="13"/>
      <c r="E79" s="13"/>
      <c r="F79" s="13"/>
      <c r="G79" s="22"/>
      <c r="H79" s="13"/>
      <c r="I79" s="13"/>
      <c r="N79" s="19">
        <v>275</v>
      </c>
      <c r="O79" s="19">
        <v>262</v>
      </c>
      <c r="P79" s="19">
        <v>68</v>
      </c>
      <c r="Q79" s="19"/>
      <c r="R79" s="19"/>
      <c r="S79" s="19">
        <v>192</v>
      </c>
      <c r="T79" s="19">
        <v>430</v>
      </c>
      <c r="V79" s="19">
        <v>0</v>
      </c>
      <c r="W79">
        <v>0</v>
      </c>
      <c r="X79">
        <v>0</v>
      </c>
      <c r="Z79">
        <v>3</v>
      </c>
      <c r="AA79">
        <v>0</v>
      </c>
      <c r="AB79">
        <v>29</v>
      </c>
      <c r="AC79">
        <f t="shared" si="64"/>
        <v>32</v>
      </c>
    </row>
    <row r="80" spans="1:29" x14ac:dyDescent="0.25">
      <c r="B80" t="s">
        <v>23</v>
      </c>
      <c r="N80" s="19">
        <v>183</v>
      </c>
      <c r="O80" s="19">
        <v>472</v>
      </c>
      <c r="P80" s="19">
        <v>59</v>
      </c>
      <c r="Q80" s="19"/>
      <c r="R80" s="19"/>
      <c r="S80" s="19">
        <v>339</v>
      </c>
      <c r="T80" s="19">
        <v>201</v>
      </c>
      <c r="V80" s="19">
        <v>1</v>
      </c>
      <c r="W80" s="19">
        <v>7</v>
      </c>
      <c r="X80" s="19">
        <v>0</v>
      </c>
      <c r="Y80" s="19"/>
      <c r="Z80" s="19">
        <v>3</v>
      </c>
      <c r="AA80" s="19">
        <v>1</v>
      </c>
      <c r="AB80" s="19">
        <v>10</v>
      </c>
      <c r="AC80">
        <f t="shared" si="64"/>
        <v>22</v>
      </c>
    </row>
    <row r="81" spans="1:29" x14ac:dyDescent="0.25">
      <c r="B81" t="s">
        <v>14</v>
      </c>
      <c r="C81" s="19">
        <f t="shared" ref="C81:H81" si="66">C78+C79+C80</f>
        <v>4397</v>
      </c>
      <c r="D81" s="19">
        <f t="shared" si="66"/>
        <v>4366</v>
      </c>
      <c r="E81" s="19">
        <f t="shared" si="66"/>
        <v>3312</v>
      </c>
      <c r="F81" s="19">
        <f t="shared" si="66"/>
        <v>2160</v>
      </c>
      <c r="G81" s="19">
        <f t="shared" si="66"/>
        <v>651</v>
      </c>
      <c r="H81" s="19">
        <f t="shared" si="66"/>
        <v>1070</v>
      </c>
      <c r="N81" s="69">
        <f>N78+N79+N80</f>
        <v>9102</v>
      </c>
      <c r="O81" s="69">
        <f>O78+O79+O80</f>
        <v>6485</v>
      </c>
      <c r="P81" s="69">
        <f>P78+P79+P80</f>
        <v>1873</v>
      </c>
      <c r="Q81" s="69"/>
      <c r="R81" s="69"/>
      <c r="S81" s="69">
        <f>S78+S79+S80</f>
        <v>2019</v>
      </c>
      <c r="T81" s="69">
        <f>T78+T79+T80</f>
        <v>631</v>
      </c>
      <c r="V81" s="17">
        <f t="shared" ref="V81:AB81" si="67">V78+V79+V80</f>
        <v>199</v>
      </c>
      <c r="W81" s="17">
        <f t="shared" si="67"/>
        <v>105</v>
      </c>
      <c r="X81" s="17">
        <f t="shared" si="67"/>
        <v>11</v>
      </c>
      <c r="Y81" s="17"/>
      <c r="Z81" s="17">
        <f t="shared" si="67"/>
        <v>7</v>
      </c>
      <c r="AA81" s="17">
        <f t="shared" si="67"/>
        <v>1</v>
      </c>
      <c r="AB81" s="17">
        <f t="shared" si="67"/>
        <v>82</v>
      </c>
      <c r="AC81">
        <f t="shared" si="64"/>
        <v>405</v>
      </c>
    </row>
    <row r="82" spans="1:29" x14ac:dyDescent="0.25">
      <c r="B82" t="s">
        <v>74</v>
      </c>
      <c r="C82" s="19"/>
      <c r="D82" s="19"/>
      <c r="E82" s="19"/>
      <c r="F82" s="19"/>
      <c r="G82" s="19"/>
      <c r="H82" s="19"/>
      <c r="N82" s="11">
        <f>N81/(SUM($N81:$T81))</f>
        <v>0.45261064147190455</v>
      </c>
      <c r="O82" s="11">
        <f>O81/(SUM($N81:$T81))</f>
        <v>0.32247637991049227</v>
      </c>
      <c r="P82" s="11">
        <f>P81/(SUM($N81:$T81))</f>
        <v>9.3137742416708108E-2</v>
      </c>
      <c r="Q82" s="11"/>
      <c r="R82" s="11"/>
      <c r="S82" s="11">
        <f>S81/(SUM($N81:$T81))</f>
        <v>0.10039781203381402</v>
      </c>
      <c r="T82" s="11">
        <f>T81/(SUM($N81:$T81))</f>
        <v>3.1377424167081051E-2</v>
      </c>
      <c r="V82" s="11">
        <f t="shared" ref="V82:AB82" si="68">V81/(SUM($V81:$AB81))</f>
        <v>0.49135802469135803</v>
      </c>
      <c r="W82" s="11">
        <f t="shared" si="68"/>
        <v>0.25925925925925924</v>
      </c>
      <c r="X82" s="11">
        <f t="shared" si="68"/>
        <v>2.7160493827160494E-2</v>
      </c>
      <c r="Y82" s="11">
        <f t="shared" si="68"/>
        <v>0</v>
      </c>
      <c r="Z82" s="11">
        <f t="shared" si="68"/>
        <v>1.7283950617283949E-2</v>
      </c>
      <c r="AA82" s="11">
        <f t="shared" si="68"/>
        <v>2.4691358024691358E-3</v>
      </c>
      <c r="AB82" s="11">
        <f t="shared" si="68"/>
        <v>0.20246913580246914</v>
      </c>
    </row>
    <row r="83" spans="1:29" x14ac:dyDescent="0.25">
      <c r="A83">
        <v>2017</v>
      </c>
      <c r="B83" t="s">
        <v>17</v>
      </c>
      <c r="C83" s="22"/>
      <c r="D83" s="22"/>
      <c r="E83" s="22"/>
      <c r="F83" s="22"/>
      <c r="G83" s="22"/>
      <c r="H83" s="22"/>
      <c r="N83" s="19">
        <v>608</v>
      </c>
      <c r="O83" s="19">
        <v>1055</v>
      </c>
      <c r="P83" s="19">
        <v>113</v>
      </c>
      <c r="Q83" s="19"/>
      <c r="R83" s="19"/>
      <c r="S83" s="19">
        <v>75</v>
      </c>
      <c r="T83" s="19"/>
      <c r="V83">
        <v>9</v>
      </c>
      <c r="W83">
        <v>21</v>
      </c>
      <c r="X83">
        <v>1</v>
      </c>
      <c r="Z83">
        <v>0</v>
      </c>
      <c r="AB83">
        <v>1</v>
      </c>
      <c r="AC83">
        <f t="shared" ref="AC83:AC91" si="69">SUM(V83:AB83)</f>
        <v>32</v>
      </c>
    </row>
    <row r="84" spans="1:29" x14ac:dyDescent="0.25">
      <c r="B84" t="s">
        <v>18</v>
      </c>
      <c r="C84" s="22">
        <v>28</v>
      </c>
      <c r="D84" s="22">
        <v>55</v>
      </c>
      <c r="E84" s="22">
        <v>3</v>
      </c>
      <c r="F84" s="22">
        <v>12</v>
      </c>
      <c r="G84" s="22">
        <v>19</v>
      </c>
      <c r="H84" s="22">
        <f>9+15</f>
        <v>24</v>
      </c>
      <c r="N84" s="19">
        <v>392</v>
      </c>
      <c r="O84" s="19">
        <v>1714</v>
      </c>
      <c r="P84" s="19">
        <v>182</v>
      </c>
      <c r="Q84" s="19"/>
      <c r="R84" s="19"/>
      <c r="S84" s="19">
        <v>131</v>
      </c>
      <c r="T84" s="19"/>
      <c r="V84">
        <v>2</v>
      </c>
      <c r="W84">
        <v>29</v>
      </c>
      <c r="X84">
        <v>0</v>
      </c>
      <c r="Z84">
        <v>0</v>
      </c>
      <c r="AB84">
        <v>5</v>
      </c>
      <c r="AC84">
        <f t="shared" si="69"/>
        <v>36</v>
      </c>
    </row>
    <row r="85" spans="1:29" x14ac:dyDescent="0.25">
      <c r="B85" t="s">
        <v>19</v>
      </c>
      <c r="C85" s="22">
        <v>473</v>
      </c>
      <c r="D85" s="22">
        <v>385</v>
      </c>
      <c r="E85" s="22">
        <v>371</v>
      </c>
      <c r="F85" s="22">
        <v>140</v>
      </c>
      <c r="G85" s="22">
        <v>85</v>
      </c>
      <c r="H85" s="22">
        <f>204+70</f>
        <v>274</v>
      </c>
      <c r="N85" s="19">
        <v>1360</v>
      </c>
      <c r="O85" s="19">
        <v>1103</v>
      </c>
      <c r="P85" s="19">
        <v>299</v>
      </c>
      <c r="Q85" s="19"/>
      <c r="R85" s="19"/>
      <c r="S85" s="19">
        <v>339</v>
      </c>
      <c r="T85" s="19"/>
      <c r="V85">
        <v>22</v>
      </c>
      <c r="W85">
        <v>20</v>
      </c>
      <c r="X85">
        <v>0</v>
      </c>
      <c r="Z85">
        <v>0</v>
      </c>
      <c r="AB85">
        <v>13</v>
      </c>
      <c r="AC85">
        <f t="shared" si="69"/>
        <v>55</v>
      </c>
    </row>
    <row r="86" spans="1:29" x14ac:dyDescent="0.25">
      <c r="B86" t="s">
        <v>20</v>
      </c>
      <c r="C86" s="22">
        <v>1777</v>
      </c>
      <c r="D86" s="22">
        <v>1735</v>
      </c>
      <c r="E86" s="22">
        <v>1530</v>
      </c>
      <c r="F86" s="22">
        <v>1124</v>
      </c>
      <c r="G86" s="22">
        <v>1044</v>
      </c>
      <c r="H86" s="22">
        <f>251+169</f>
        <v>420</v>
      </c>
      <c r="N86" s="19">
        <v>1201</v>
      </c>
      <c r="O86" s="19">
        <v>259</v>
      </c>
      <c r="P86" s="19">
        <v>229</v>
      </c>
      <c r="Q86" s="19"/>
      <c r="R86" s="19"/>
      <c r="S86" s="19">
        <v>98</v>
      </c>
      <c r="T86" s="19"/>
      <c r="V86">
        <v>24</v>
      </c>
      <c r="W86">
        <v>0</v>
      </c>
      <c r="X86">
        <v>0</v>
      </c>
      <c r="Z86">
        <v>0</v>
      </c>
      <c r="AB86">
        <v>3</v>
      </c>
      <c r="AC86">
        <f t="shared" si="69"/>
        <v>27</v>
      </c>
    </row>
    <row r="87" spans="1:29" x14ac:dyDescent="0.25">
      <c r="B87" t="s">
        <v>21</v>
      </c>
      <c r="C87" s="22"/>
      <c r="D87" s="22"/>
      <c r="E87" s="22"/>
      <c r="F87" s="22"/>
      <c r="G87" s="22"/>
      <c r="H87" s="22"/>
      <c r="N87" s="19">
        <v>5212</v>
      </c>
      <c r="O87" s="19">
        <v>1573</v>
      </c>
      <c r="P87" s="19">
        <v>851</v>
      </c>
      <c r="Q87" s="19"/>
      <c r="R87" s="19"/>
      <c r="S87" s="19">
        <v>934</v>
      </c>
      <c r="T87" s="19"/>
      <c r="V87">
        <v>143</v>
      </c>
      <c r="W87">
        <v>29</v>
      </c>
      <c r="X87">
        <v>7</v>
      </c>
      <c r="Z87">
        <v>2</v>
      </c>
      <c r="AB87">
        <v>20</v>
      </c>
      <c r="AC87">
        <f t="shared" si="69"/>
        <v>201</v>
      </c>
    </row>
    <row r="88" spans="1:29" x14ac:dyDescent="0.25">
      <c r="A88" s="10"/>
      <c r="B88" s="10" t="s">
        <v>24</v>
      </c>
      <c r="C88" s="20">
        <f t="shared" ref="C88:H88" si="70">SUM(C83:C87)</f>
        <v>2278</v>
      </c>
      <c r="D88" s="20">
        <f t="shared" si="70"/>
        <v>2175</v>
      </c>
      <c r="E88" s="20">
        <f t="shared" si="70"/>
        <v>1904</v>
      </c>
      <c r="F88" s="20">
        <f t="shared" si="70"/>
        <v>1276</v>
      </c>
      <c r="G88" s="20">
        <f t="shared" si="70"/>
        <v>1148</v>
      </c>
      <c r="H88" s="20">
        <f t="shared" si="70"/>
        <v>718</v>
      </c>
      <c r="J88" s="21"/>
      <c r="K88" s="21">
        <f>E88/C88</f>
        <v>0.83582089552238803</v>
      </c>
      <c r="L88" s="21">
        <f>E88/D88</f>
        <v>0.87540229885057474</v>
      </c>
      <c r="M88" s="21"/>
      <c r="N88" s="20">
        <f>SUM(N83:N87)</f>
        <v>8773</v>
      </c>
      <c r="O88" s="20">
        <f>SUM(O83:O87)</f>
        <v>5704</v>
      </c>
      <c r="P88" s="20">
        <f>SUM(P83:P87)</f>
        <v>1674</v>
      </c>
      <c r="Q88" s="20"/>
      <c r="R88" s="20"/>
      <c r="S88" s="20">
        <f>SUM(S83:S87)</f>
        <v>1577</v>
      </c>
      <c r="U88" s="21"/>
      <c r="V88" s="20">
        <f>SUM(V83:V87)</f>
        <v>200</v>
      </c>
      <c r="W88" s="20">
        <f>SUM(W83:W87)</f>
        <v>99</v>
      </c>
      <c r="X88" s="20">
        <f>SUM(X83:X87)</f>
        <v>8</v>
      </c>
      <c r="Y88" s="20"/>
      <c r="Z88" s="20">
        <f>SUM(Z83:Z87)</f>
        <v>2</v>
      </c>
      <c r="AA88" s="20"/>
      <c r="AB88" s="20">
        <f>SUM(AB83:AB87)</f>
        <v>42</v>
      </c>
      <c r="AC88" s="10">
        <f t="shared" si="69"/>
        <v>351</v>
      </c>
    </row>
    <row r="89" spans="1:29" x14ac:dyDescent="0.25">
      <c r="B89" t="s">
        <v>22</v>
      </c>
      <c r="C89" s="13">
        <v>380</v>
      </c>
      <c r="D89" s="13">
        <v>453</v>
      </c>
      <c r="E89" s="13">
        <v>247</v>
      </c>
      <c r="F89" s="13">
        <v>218</v>
      </c>
      <c r="G89" s="22">
        <v>45</v>
      </c>
      <c r="H89" s="13">
        <f>499+148-45</f>
        <v>602</v>
      </c>
      <c r="I89" s="13">
        <v>627</v>
      </c>
      <c r="N89" s="19">
        <v>276</v>
      </c>
      <c r="O89" s="19">
        <v>262</v>
      </c>
      <c r="P89" s="19">
        <v>67</v>
      </c>
      <c r="Q89" s="19"/>
      <c r="R89" s="19"/>
      <c r="S89" s="19">
        <v>191</v>
      </c>
      <c r="T89" s="19">
        <v>431</v>
      </c>
      <c r="V89">
        <v>0</v>
      </c>
      <c r="W89">
        <v>0</v>
      </c>
      <c r="X89">
        <v>0</v>
      </c>
      <c r="Z89">
        <v>3</v>
      </c>
      <c r="AA89">
        <v>0</v>
      </c>
      <c r="AB89">
        <v>29</v>
      </c>
      <c r="AC89">
        <f t="shared" si="69"/>
        <v>32</v>
      </c>
    </row>
    <row r="90" spans="1:29" x14ac:dyDescent="0.25">
      <c r="B90" t="s">
        <v>23</v>
      </c>
      <c r="C90">
        <v>626</v>
      </c>
      <c r="D90">
        <v>937</v>
      </c>
      <c r="E90">
        <v>278</v>
      </c>
      <c r="F90">
        <v>79</v>
      </c>
      <c r="G90">
        <v>79</v>
      </c>
      <c r="H90">
        <f>624+99</f>
        <v>723</v>
      </c>
      <c r="I90">
        <v>580</v>
      </c>
      <c r="N90" s="19">
        <v>184</v>
      </c>
      <c r="O90" s="19">
        <v>473</v>
      </c>
      <c r="P90" s="19">
        <v>62</v>
      </c>
      <c r="Q90" s="19"/>
      <c r="R90" s="19"/>
      <c r="S90" s="19">
        <v>332</v>
      </c>
      <c r="T90" s="19">
        <v>203</v>
      </c>
      <c r="V90">
        <v>1</v>
      </c>
      <c r="W90">
        <v>7</v>
      </c>
      <c r="X90">
        <v>0</v>
      </c>
      <c r="Z90">
        <v>2</v>
      </c>
      <c r="AA90">
        <v>1</v>
      </c>
      <c r="AB90">
        <v>11</v>
      </c>
      <c r="AC90">
        <f t="shared" si="69"/>
        <v>22</v>
      </c>
    </row>
    <row r="91" spans="1:29" x14ac:dyDescent="0.25">
      <c r="B91" t="s">
        <v>14</v>
      </c>
      <c r="C91" s="19">
        <f t="shared" ref="C91:H91" si="71">C88+C89+C90</f>
        <v>3284</v>
      </c>
      <c r="D91" s="19">
        <f t="shared" si="71"/>
        <v>3565</v>
      </c>
      <c r="E91" s="19">
        <f t="shared" si="71"/>
        <v>2429</v>
      </c>
      <c r="F91" s="19">
        <f t="shared" si="71"/>
        <v>1573</v>
      </c>
      <c r="G91" s="19">
        <f t="shared" si="71"/>
        <v>1272</v>
      </c>
      <c r="H91" s="19">
        <f t="shared" si="71"/>
        <v>2043</v>
      </c>
      <c r="N91" s="69">
        <f>N88+N89+N90</f>
        <v>9233</v>
      </c>
      <c r="O91" s="69">
        <f>O88+O89+O90</f>
        <v>6439</v>
      </c>
      <c r="P91" s="69">
        <f>P88+P89+P90</f>
        <v>1803</v>
      </c>
      <c r="Q91" s="69"/>
      <c r="R91" s="69"/>
      <c r="S91" s="69">
        <f>S88+S89+S90</f>
        <v>2100</v>
      </c>
      <c r="T91" s="69">
        <f>T88+T89+T90</f>
        <v>634</v>
      </c>
      <c r="V91" s="17">
        <f t="shared" ref="V91:AB91" si="72">V88+V89+V90</f>
        <v>201</v>
      </c>
      <c r="W91" s="17">
        <f t="shared" si="72"/>
        <v>106</v>
      </c>
      <c r="X91" s="17">
        <f t="shared" si="72"/>
        <v>8</v>
      </c>
      <c r="Y91" s="17"/>
      <c r="Z91" s="17">
        <f t="shared" si="72"/>
        <v>7</v>
      </c>
      <c r="AA91" s="17">
        <f t="shared" si="72"/>
        <v>1</v>
      </c>
      <c r="AB91" s="17">
        <f t="shared" si="72"/>
        <v>82</v>
      </c>
      <c r="AC91">
        <f t="shared" si="69"/>
        <v>405</v>
      </c>
    </row>
    <row r="92" spans="1:29" x14ac:dyDescent="0.25">
      <c r="B92" t="s">
        <v>74</v>
      </c>
      <c r="N92" s="11">
        <f>N91/(SUM($N91:$T91))</f>
        <v>0.45687564946311049</v>
      </c>
      <c r="O92" s="11">
        <f>O91/(SUM($N91:$T91))</f>
        <v>0.31862041664604879</v>
      </c>
      <c r="P92" s="11">
        <f>P91/(SUM($N91:$T91))</f>
        <v>8.9217675293186208E-2</v>
      </c>
      <c r="Q92" s="11"/>
      <c r="R92" s="11"/>
      <c r="S92" s="11">
        <f>S91/(SUM($N91:$T91))</f>
        <v>0.10391409767925182</v>
      </c>
      <c r="T92" s="11">
        <f>T91/(SUM($N91:$T91))</f>
        <v>3.137216091840269E-2</v>
      </c>
      <c r="V92" s="11">
        <f t="shared" ref="V92:AB92" si="73">V91/(SUM($V91:$AB91))</f>
        <v>0.49629629629629629</v>
      </c>
      <c r="W92" s="11">
        <f t="shared" si="73"/>
        <v>0.2617283950617284</v>
      </c>
      <c r="X92" s="11">
        <f t="shared" si="73"/>
        <v>1.9753086419753086E-2</v>
      </c>
      <c r="Y92" s="11">
        <f t="shared" si="73"/>
        <v>0</v>
      </c>
      <c r="Z92" s="11">
        <f t="shared" si="73"/>
        <v>1.7283950617283949E-2</v>
      </c>
      <c r="AA92" s="11">
        <f t="shared" si="73"/>
        <v>2.4691358024691358E-3</v>
      </c>
      <c r="AB92" s="11">
        <f t="shared" si="73"/>
        <v>0.20246913580246914</v>
      </c>
    </row>
    <row r="93" spans="1:29" x14ac:dyDescent="0.25">
      <c r="A93">
        <v>2016</v>
      </c>
      <c r="B93" t="s">
        <v>17</v>
      </c>
      <c r="C93" s="22"/>
      <c r="D93" s="22"/>
      <c r="E93" s="22"/>
      <c r="F93" s="22"/>
      <c r="G93" s="22"/>
      <c r="H93" s="22"/>
      <c r="N93" s="19">
        <v>608</v>
      </c>
      <c r="O93" s="19">
        <v>1062</v>
      </c>
      <c r="P93" s="19">
        <v>115</v>
      </c>
      <c r="Q93" s="19"/>
      <c r="R93" s="19"/>
      <c r="S93" s="19">
        <v>66</v>
      </c>
      <c r="T93" s="19"/>
      <c r="V93">
        <v>9</v>
      </c>
      <c r="W93">
        <v>21</v>
      </c>
      <c r="X93">
        <v>1</v>
      </c>
      <c r="Z93">
        <v>0</v>
      </c>
      <c r="AB93">
        <v>1</v>
      </c>
      <c r="AC93">
        <f t="shared" ref="AC93:AC101" si="74">SUM(V93:AB93)</f>
        <v>32</v>
      </c>
    </row>
    <row r="94" spans="1:29" x14ac:dyDescent="0.25">
      <c r="B94" t="s">
        <v>18</v>
      </c>
      <c r="C94" s="22">
        <v>811</v>
      </c>
      <c r="D94" s="22">
        <v>924</v>
      </c>
      <c r="E94" s="22">
        <v>575</v>
      </c>
      <c r="F94" s="22">
        <v>648</v>
      </c>
      <c r="G94" s="22">
        <v>551</v>
      </c>
      <c r="H94" s="22">
        <f>99+242</f>
        <v>341</v>
      </c>
      <c r="N94" s="19">
        <v>395</v>
      </c>
      <c r="O94" s="19">
        <v>1720</v>
      </c>
      <c r="P94" s="19">
        <v>178</v>
      </c>
      <c r="Q94" s="19"/>
      <c r="R94" s="19"/>
      <c r="S94" s="19">
        <v>126</v>
      </c>
      <c r="T94" s="19"/>
      <c r="V94">
        <v>2</v>
      </c>
      <c r="W94">
        <v>29</v>
      </c>
      <c r="X94">
        <v>0</v>
      </c>
      <c r="Z94">
        <v>0</v>
      </c>
      <c r="AB94">
        <v>5</v>
      </c>
      <c r="AC94">
        <f t="shared" si="74"/>
        <v>36</v>
      </c>
    </row>
    <row r="95" spans="1:29" x14ac:dyDescent="0.25">
      <c r="B95" t="s">
        <v>19</v>
      </c>
      <c r="C95" s="22">
        <v>445</v>
      </c>
      <c r="D95" s="22">
        <v>457</v>
      </c>
      <c r="E95" s="22">
        <v>320</v>
      </c>
      <c r="F95" s="22">
        <v>196</v>
      </c>
      <c r="G95" s="22">
        <v>226</v>
      </c>
      <c r="H95" s="22">
        <f>49+97</f>
        <v>146</v>
      </c>
      <c r="N95" s="19">
        <v>1305</v>
      </c>
      <c r="O95" s="19">
        <v>1145</v>
      </c>
      <c r="P95" s="19">
        <v>300</v>
      </c>
      <c r="Q95" s="19"/>
      <c r="R95" s="19"/>
      <c r="S95" s="19">
        <v>351</v>
      </c>
      <c r="T95" s="19"/>
      <c r="V95">
        <v>21</v>
      </c>
      <c r="W95">
        <v>19</v>
      </c>
      <c r="X95">
        <v>0</v>
      </c>
      <c r="Z95">
        <v>0</v>
      </c>
      <c r="AB95">
        <v>15</v>
      </c>
      <c r="AC95">
        <f t="shared" si="74"/>
        <v>55</v>
      </c>
    </row>
    <row r="96" spans="1:29" x14ac:dyDescent="0.25">
      <c r="B96" t="s">
        <v>20</v>
      </c>
      <c r="C96" s="22"/>
      <c r="D96" s="22"/>
      <c r="E96" s="22"/>
      <c r="F96" s="22"/>
      <c r="G96" s="22"/>
      <c r="H96" s="22"/>
      <c r="N96" s="19">
        <v>937</v>
      </c>
      <c r="O96" s="19">
        <v>377</v>
      </c>
      <c r="P96" s="19">
        <v>240</v>
      </c>
      <c r="Q96" s="19"/>
      <c r="R96" s="19"/>
      <c r="S96" s="19">
        <v>257</v>
      </c>
      <c r="T96" s="19"/>
      <c r="V96">
        <v>16</v>
      </c>
      <c r="W96">
        <v>1</v>
      </c>
      <c r="X96">
        <v>0</v>
      </c>
      <c r="Z96">
        <v>0</v>
      </c>
      <c r="AB96">
        <v>10</v>
      </c>
      <c r="AC96">
        <f t="shared" si="74"/>
        <v>27</v>
      </c>
    </row>
    <row r="97" spans="1:29" x14ac:dyDescent="0.25">
      <c r="B97" t="s">
        <v>21</v>
      </c>
      <c r="C97" s="22">
        <v>1367</v>
      </c>
      <c r="D97" s="22">
        <v>1250</v>
      </c>
      <c r="E97" s="22">
        <v>868</v>
      </c>
      <c r="F97" s="22">
        <v>662</v>
      </c>
      <c r="G97" s="22">
        <v>626</v>
      </c>
      <c r="H97" s="22">
        <f>99+158</f>
        <v>257</v>
      </c>
      <c r="N97" s="19">
        <v>5239</v>
      </c>
      <c r="O97" s="19">
        <v>1588</v>
      </c>
      <c r="P97" s="19">
        <v>845</v>
      </c>
      <c r="Q97" s="19"/>
      <c r="R97" s="19"/>
      <c r="S97" s="19">
        <v>898</v>
      </c>
      <c r="T97" s="19"/>
      <c r="V97">
        <v>143</v>
      </c>
      <c r="W97">
        <v>30</v>
      </c>
      <c r="X97">
        <v>6</v>
      </c>
      <c r="Z97">
        <v>1</v>
      </c>
      <c r="AB97">
        <v>21</v>
      </c>
      <c r="AC97">
        <f t="shared" si="74"/>
        <v>201</v>
      </c>
    </row>
    <row r="98" spans="1:29" x14ac:dyDescent="0.25">
      <c r="A98" s="10"/>
      <c r="B98" s="10" t="s">
        <v>24</v>
      </c>
      <c r="C98" s="20">
        <f t="shared" ref="C98:H98" si="75">SUM(C93:C97)</f>
        <v>2623</v>
      </c>
      <c r="D98" s="20">
        <f t="shared" si="75"/>
        <v>2631</v>
      </c>
      <c r="E98" s="20">
        <f t="shared" si="75"/>
        <v>1763</v>
      </c>
      <c r="F98" s="20">
        <f t="shared" si="75"/>
        <v>1506</v>
      </c>
      <c r="G98" s="20">
        <f t="shared" si="75"/>
        <v>1403</v>
      </c>
      <c r="H98" s="20">
        <f t="shared" si="75"/>
        <v>744</v>
      </c>
      <c r="J98" s="21"/>
      <c r="K98" s="21">
        <f>E98/C98</f>
        <v>0.67213114754098358</v>
      </c>
      <c r="L98" s="21">
        <f>E98/D98</f>
        <v>0.67008741923223114</v>
      </c>
      <c r="M98" s="21"/>
      <c r="N98" s="20">
        <f>SUM(N93:N97)</f>
        <v>8484</v>
      </c>
      <c r="O98" s="20">
        <f>SUM(O93:O97)</f>
        <v>5892</v>
      </c>
      <c r="P98" s="20">
        <f>SUM(P93:P97)</f>
        <v>1678</v>
      </c>
      <c r="Q98" s="20"/>
      <c r="R98" s="20"/>
      <c r="S98" s="20">
        <f>SUM(S93:S97)</f>
        <v>1698</v>
      </c>
      <c r="U98" s="21"/>
      <c r="V98" s="20">
        <f t="shared" ref="V98:AB98" si="76">SUM(V93:V97)</f>
        <v>191</v>
      </c>
      <c r="W98" s="20">
        <f t="shared" si="76"/>
        <v>100</v>
      </c>
      <c r="X98" s="20">
        <f t="shared" si="76"/>
        <v>7</v>
      </c>
      <c r="Y98" s="20"/>
      <c r="Z98" s="20">
        <f t="shared" si="76"/>
        <v>1</v>
      </c>
      <c r="AA98" s="20"/>
      <c r="AB98" s="20">
        <f t="shared" si="76"/>
        <v>52</v>
      </c>
      <c r="AC98" s="10">
        <f t="shared" si="74"/>
        <v>351</v>
      </c>
    </row>
    <row r="99" spans="1:29" x14ac:dyDescent="0.25">
      <c r="B99" t="s">
        <v>22</v>
      </c>
      <c r="N99">
        <v>118</v>
      </c>
      <c r="O99">
        <v>393</v>
      </c>
      <c r="P99">
        <v>76</v>
      </c>
      <c r="S99">
        <v>215</v>
      </c>
      <c r="T99">
        <v>421</v>
      </c>
      <c r="V99">
        <v>0</v>
      </c>
      <c r="W99">
        <v>5</v>
      </c>
      <c r="X99">
        <v>0</v>
      </c>
      <c r="Z99">
        <v>3</v>
      </c>
      <c r="AA99">
        <v>2</v>
      </c>
      <c r="AB99">
        <v>22</v>
      </c>
      <c r="AC99">
        <f t="shared" si="74"/>
        <v>32</v>
      </c>
    </row>
    <row r="100" spans="1:29" x14ac:dyDescent="0.25">
      <c r="B100" t="s">
        <v>23</v>
      </c>
      <c r="N100">
        <v>107</v>
      </c>
      <c r="O100">
        <v>566</v>
      </c>
      <c r="P100">
        <v>68</v>
      </c>
      <c r="S100">
        <v>338</v>
      </c>
      <c r="T100">
        <v>175</v>
      </c>
      <c r="V100">
        <v>0</v>
      </c>
      <c r="W100">
        <v>10</v>
      </c>
      <c r="X100">
        <v>0</v>
      </c>
      <c r="Z100">
        <v>2</v>
      </c>
      <c r="AA100">
        <v>1</v>
      </c>
      <c r="AB100">
        <v>9</v>
      </c>
      <c r="AC100">
        <f t="shared" si="74"/>
        <v>22</v>
      </c>
    </row>
    <row r="101" spans="1:29" x14ac:dyDescent="0.25">
      <c r="B101" t="s">
        <v>14</v>
      </c>
      <c r="C101" s="19">
        <f t="shared" ref="C101:H101" si="77">C98+C99+C100</f>
        <v>2623</v>
      </c>
      <c r="D101" s="19">
        <f t="shared" si="77"/>
        <v>2631</v>
      </c>
      <c r="E101" s="19">
        <f t="shared" si="77"/>
        <v>1763</v>
      </c>
      <c r="F101" s="19">
        <f t="shared" si="77"/>
        <v>1506</v>
      </c>
      <c r="G101" s="19">
        <f t="shared" si="77"/>
        <v>1403</v>
      </c>
      <c r="H101" s="19">
        <f t="shared" si="77"/>
        <v>744</v>
      </c>
      <c r="N101" s="69">
        <f>N98+N99+N100</f>
        <v>8709</v>
      </c>
      <c r="O101" s="69">
        <f>O98+O99+O100</f>
        <v>6851</v>
      </c>
      <c r="P101" s="69">
        <f>P98+P99+P100</f>
        <v>1822</v>
      </c>
      <c r="Q101" s="69"/>
      <c r="R101" s="69"/>
      <c r="S101" s="69">
        <f>S98+S99+S100</f>
        <v>2251</v>
      </c>
      <c r="T101" s="69">
        <f>T98+T99+T100</f>
        <v>596</v>
      </c>
      <c r="V101" s="17">
        <f t="shared" ref="V101:AB101" si="78">V98+V99+V100</f>
        <v>191</v>
      </c>
      <c r="W101" s="17">
        <f t="shared" si="78"/>
        <v>115</v>
      </c>
      <c r="X101" s="17">
        <f t="shared" si="78"/>
        <v>7</v>
      </c>
      <c r="Y101" s="17"/>
      <c r="Z101" s="17">
        <f t="shared" si="78"/>
        <v>6</v>
      </c>
      <c r="AA101" s="17">
        <f t="shared" si="78"/>
        <v>3</v>
      </c>
      <c r="AB101" s="17">
        <f t="shared" si="78"/>
        <v>83</v>
      </c>
      <c r="AC101">
        <f t="shared" si="74"/>
        <v>405</v>
      </c>
    </row>
    <row r="102" spans="1:29" x14ac:dyDescent="0.25">
      <c r="B102" t="s">
        <v>74</v>
      </c>
      <c r="N102" s="11">
        <f>N101/(SUM($N101:$T101))</f>
        <v>0.43052053981907162</v>
      </c>
      <c r="O102" s="11">
        <f>O101/(SUM($N101:$T101))</f>
        <v>0.33867220327252956</v>
      </c>
      <c r="P102" s="11">
        <f>P101/(SUM($N101:$T101))</f>
        <v>9.0068713233476691E-2</v>
      </c>
      <c r="Q102" s="11"/>
      <c r="R102" s="11"/>
      <c r="S102" s="11">
        <f>S101/(SUM($N101:$T101))</f>
        <v>0.11127589104750606</v>
      </c>
      <c r="T102" s="11">
        <f>T101/(SUM($N101:$T101))</f>
        <v>2.9462652627416087E-2</v>
      </c>
      <c r="V102" s="11">
        <f t="shared" ref="V102:AB102" si="79">V101/(SUM($V101:$AB101))</f>
        <v>0.47160493827160493</v>
      </c>
      <c r="W102" s="11">
        <f t="shared" si="79"/>
        <v>0.2839506172839506</v>
      </c>
      <c r="X102" s="11">
        <f t="shared" si="79"/>
        <v>1.7283950617283949E-2</v>
      </c>
      <c r="Y102" s="11">
        <f t="shared" si="79"/>
        <v>0</v>
      </c>
      <c r="Z102" s="11">
        <f t="shared" si="79"/>
        <v>1.4814814814814815E-2</v>
      </c>
      <c r="AA102" s="11">
        <f t="shared" si="79"/>
        <v>7.4074074074074077E-3</v>
      </c>
      <c r="AB102" s="11">
        <f t="shared" si="79"/>
        <v>0.20493827160493827</v>
      </c>
    </row>
    <row r="103" spans="1:29" x14ac:dyDescent="0.25">
      <c r="A103">
        <v>2015</v>
      </c>
      <c r="B103" t="s">
        <v>17</v>
      </c>
      <c r="C103" s="22"/>
      <c r="D103" s="22"/>
      <c r="E103" s="22"/>
      <c r="F103" s="22"/>
      <c r="G103" s="22"/>
      <c r="H103" s="22"/>
      <c r="N103" s="19">
        <v>613</v>
      </c>
      <c r="O103" s="19">
        <v>1060</v>
      </c>
      <c r="P103" s="19">
        <v>116</v>
      </c>
      <c r="Q103" s="19"/>
      <c r="R103" s="19"/>
      <c r="S103" s="19">
        <v>62</v>
      </c>
      <c r="T103" s="19"/>
      <c r="V103">
        <v>9</v>
      </c>
      <c r="W103">
        <v>20</v>
      </c>
      <c r="X103">
        <v>1</v>
      </c>
      <c r="Z103">
        <v>0</v>
      </c>
      <c r="AB103">
        <v>2</v>
      </c>
      <c r="AC103">
        <f t="shared" ref="AC103:AC111" si="80">SUM(V103:AB103)</f>
        <v>32</v>
      </c>
    </row>
    <row r="104" spans="1:29" x14ac:dyDescent="0.25">
      <c r="B104" t="s">
        <v>18</v>
      </c>
      <c r="C104" s="22">
        <v>803</v>
      </c>
      <c r="D104" s="22">
        <v>860</v>
      </c>
      <c r="E104" s="22">
        <v>520</v>
      </c>
      <c r="F104" s="22">
        <v>677</v>
      </c>
      <c r="G104" s="22">
        <v>694</v>
      </c>
      <c r="H104" s="22">
        <f>102+317</f>
        <v>419</v>
      </c>
      <c r="N104" s="19">
        <v>381</v>
      </c>
      <c r="O104" s="19">
        <v>1748</v>
      </c>
      <c r="P104" s="19">
        <v>177</v>
      </c>
      <c r="Q104" s="19"/>
      <c r="R104" s="19"/>
      <c r="S104" s="19">
        <v>131</v>
      </c>
      <c r="T104" s="19"/>
      <c r="V104">
        <v>2</v>
      </c>
      <c r="W104">
        <v>30</v>
      </c>
      <c r="X104">
        <v>0</v>
      </c>
      <c r="Z104">
        <v>0</v>
      </c>
      <c r="AB104">
        <v>4</v>
      </c>
      <c r="AC104">
        <f t="shared" si="80"/>
        <v>36</v>
      </c>
    </row>
    <row r="105" spans="1:29" x14ac:dyDescent="0.25">
      <c r="B105" t="s">
        <v>19</v>
      </c>
      <c r="C105" s="22">
        <v>1783</v>
      </c>
      <c r="D105" s="22">
        <v>1675</v>
      </c>
      <c r="E105" s="22">
        <v>1066</v>
      </c>
      <c r="F105" s="22">
        <v>807</v>
      </c>
      <c r="G105" s="22">
        <v>895</v>
      </c>
      <c r="H105" s="22">
        <f>405+370</f>
        <v>775</v>
      </c>
      <c r="N105" s="19">
        <v>1297</v>
      </c>
      <c r="O105" s="19">
        <v>1146</v>
      </c>
      <c r="P105" s="19">
        <v>294</v>
      </c>
      <c r="Q105" s="19"/>
      <c r="R105" s="19"/>
      <c r="S105" s="19">
        <v>360</v>
      </c>
      <c r="T105" s="19"/>
      <c r="V105">
        <v>19</v>
      </c>
      <c r="W105">
        <v>18</v>
      </c>
      <c r="X105">
        <v>0</v>
      </c>
      <c r="Z105">
        <v>0</v>
      </c>
      <c r="AB105">
        <v>18</v>
      </c>
      <c r="AC105">
        <f t="shared" si="80"/>
        <v>55</v>
      </c>
    </row>
    <row r="106" spans="1:29" x14ac:dyDescent="0.25">
      <c r="B106" t="s">
        <v>20</v>
      </c>
      <c r="C106" s="22"/>
      <c r="D106" s="22"/>
      <c r="E106" s="22"/>
      <c r="F106" s="22"/>
      <c r="G106" s="22"/>
      <c r="H106" s="22"/>
      <c r="N106" s="19">
        <v>937</v>
      </c>
      <c r="O106" s="19">
        <v>382</v>
      </c>
      <c r="P106" s="19">
        <v>248</v>
      </c>
      <c r="Q106" s="19"/>
      <c r="R106" s="19"/>
      <c r="S106" s="19">
        <v>244</v>
      </c>
      <c r="T106" s="19"/>
      <c r="V106">
        <v>16</v>
      </c>
      <c r="W106">
        <v>2</v>
      </c>
      <c r="X106">
        <v>0</v>
      </c>
      <c r="Z106">
        <v>0</v>
      </c>
      <c r="AB106">
        <v>9</v>
      </c>
      <c r="AC106">
        <f t="shared" si="80"/>
        <v>27</v>
      </c>
    </row>
    <row r="107" spans="1:29" x14ac:dyDescent="0.25">
      <c r="B107" t="s">
        <v>21</v>
      </c>
      <c r="C107" s="22">
        <v>6085</v>
      </c>
      <c r="D107" s="22">
        <v>4459</v>
      </c>
      <c r="E107" s="22">
        <v>2714</v>
      </c>
      <c r="F107" s="22">
        <v>2052</v>
      </c>
      <c r="G107" s="22">
        <v>2505</v>
      </c>
      <c r="H107" s="22">
        <f>1038+598</f>
        <v>1636</v>
      </c>
      <c r="N107" s="19">
        <v>5318</v>
      </c>
      <c r="O107" s="19">
        <v>1584</v>
      </c>
      <c r="P107" s="19">
        <v>824</v>
      </c>
      <c r="Q107" s="19"/>
      <c r="R107" s="19"/>
      <c r="S107" s="19">
        <v>883</v>
      </c>
      <c r="T107" s="19"/>
      <c r="V107">
        <v>146</v>
      </c>
      <c r="W107">
        <v>30</v>
      </c>
      <c r="X107">
        <v>5</v>
      </c>
      <c r="Z107">
        <v>2</v>
      </c>
      <c r="AB107">
        <v>18</v>
      </c>
      <c r="AC107">
        <f t="shared" si="80"/>
        <v>201</v>
      </c>
    </row>
    <row r="108" spans="1:29" x14ac:dyDescent="0.25">
      <c r="A108" s="10"/>
      <c r="B108" s="10" t="s">
        <v>24</v>
      </c>
      <c r="C108" s="20">
        <f t="shared" ref="C108:H108" si="81">SUM(C103:C107)</f>
        <v>8671</v>
      </c>
      <c r="D108" s="20">
        <f t="shared" si="81"/>
        <v>6994</v>
      </c>
      <c r="E108" s="20">
        <f t="shared" si="81"/>
        <v>4300</v>
      </c>
      <c r="F108" s="20">
        <f t="shared" si="81"/>
        <v>3536</v>
      </c>
      <c r="G108" s="20">
        <f t="shared" si="81"/>
        <v>4094</v>
      </c>
      <c r="H108" s="20">
        <f t="shared" si="81"/>
        <v>2830</v>
      </c>
      <c r="J108" s="21"/>
      <c r="K108" s="21">
        <f>E108/C108</f>
        <v>0.49590589320724254</v>
      </c>
      <c r="L108" s="21">
        <f>E108/D108</f>
        <v>0.61481269659708326</v>
      </c>
      <c r="M108" s="21"/>
      <c r="N108" s="20">
        <f>SUM(N103:N107)</f>
        <v>8546</v>
      </c>
      <c r="O108" s="20">
        <f>SUM(O103:O107)</f>
        <v>5920</v>
      </c>
      <c r="P108" s="20">
        <f>SUM(P103:P107)</f>
        <v>1659</v>
      </c>
      <c r="Q108" s="20"/>
      <c r="R108" s="20"/>
      <c r="S108" s="20">
        <f>SUM(S103:S107)</f>
        <v>1680</v>
      </c>
      <c r="T108" s="20"/>
      <c r="U108" s="21"/>
      <c r="V108" s="20">
        <f t="shared" ref="V108:AB108" si="82">SUM(V103:V107)</f>
        <v>192</v>
      </c>
      <c r="W108" s="20">
        <f t="shared" si="82"/>
        <v>100</v>
      </c>
      <c r="X108" s="20">
        <f t="shared" si="82"/>
        <v>6</v>
      </c>
      <c r="Y108" s="20"/>
      <c r="Z108" s="20">
        <f t="shared" si="82"/>
        <v>2</v>
      </c>
      <c r="AA108" s="20"/>
      <c r="AB108" s="20">
        <f t="shared" si="82"/>
        <v>51</v>
      </c>
      <c r="AC108" s="10">
        <f t="shared" si="80"/>
        <v>351</v>
      </c>
    </row>
    <row r="109" spans="1:29" x14ac:dyDescent="0.25">
      <c r="B109" t="s">
        <v>22</v>
      </c>
      <c r="N109" s="19">
        <v>117</v>
      </c>
      <c r="O109" s="19">
        <v>392</v>
      </c>
      <c r="P109" s="19">
        <v>75</v>
      </c>
      <c r="Q109" s="19"/>
      <c r="R109" s="19"/>
      <c r="S109" s="19">
        <v>219</v>
      </c>
      <c r="T109" s="19">
        <v>420</v>
      </c>
      <c r="V109" s="19">
        <v>0</v>
      </c>
      <c r="W109" s="19">
        <v>4</v>
      </c>
      <c r="X109" s="19">
        <v>0</v>
      </c>
      <c r="Y109" s="19"/>
      <c r="Z109" s="19">
        <v>3</v>
      </c>
      <c r="AA109" s="19">
        <v>2</v>
      </c>
      <c r="AB109" s="19">
        <v>23</v>
      </c>
      <c r="AC109">
        <f t="shared" si="80"/>
        <v>32</v>
      </c>
    </row>
    <row r="110" spans="1:29" x14ac:dyDescent="0.25">
      <c r="B110" t="s">
        <v>23</v>
      </c>
      <c r="C110" s="19"/>
      <c r="D110" s="19"/>
      <c r="E110" s="19"/>
      <c r="F110" s="19"/>
      <c r="G110" s="19"/>
      <c r="H110" s="19"/>
      <c r="N110" s="19">
        <v>103</v>
      </c>
      <c r="O110" s="19">
        <v>561</v>
      </c>
      <c r="P110" s="19">
        <v>76</v>
      </c>
      <c r="Q110" s="19"/>
      <c r="R110" s="19"/>
      <c r="S110" s="19">
        <v>342</v>
      </c>
      <c r="T110" s="19">
        <v>172</v>
      </c>
      <c r="V110" s="19">
        <v>0</v>
      </c>
      <c r="W110" s="19">
        <v>10</v>
      </c>
      <c r="X110" s="19">
        <v>0</v>
      </c>
      <c r="Y110" s="19"/>
      <c r="Z110" s="19">
        <v>2</v>
      </c>
      <c r="AA110" s="19">
        <v>0</v>
      </c>
      <c r="AB110" s="19">
        <v>10</v>
      </c>
      <c r="AC110">
        <f t="shared" si="80"/>
        <v>22</v>
      </c>
    </row>
    <row r="111" spans="1:29" x14ac:dyDescent="0.25">
      <c r="B111" t="s">
        <v>14</v>
      </c>
      <c r="C111" s="19">
        <f t="shared" ref="C111:H111" si="83">C108+C109+C110</f>
        <v>8671</v>
      </c>
      <c r="D111" s="19">
        <f t="shared" si="83"/>
        <v>6994</v>
      </c>
      <c r="E111" s="19">
        <f t="shared" si="83"/>
        <v>4300</v>
      </c>
      <c r="F111" s="19">
        <f t="shared" si="83"/>
        <v>3536</v>
      </c>
      <c r="G111" s="19">
        <f t="shared" si="83"/>
        <v>4094</v>
      </c>
      <c r="H111" s="19">
        <f t="shared" si="83"/>
        <v>2830</v>
      </c>
      <c r="N111" s="69">
        <f>N108+N109+N110</f>
        <v>8766</v>
      </c>
      <c r="O111" s="69">
        <f>O108+O109+O110</f>
        <v>6873</v>
      </c>
      <c r="P111" s="69">
        <f>P108+P109+P110</f>
        <v>1810</v>
      </c>
      <c r="Q111" s="69"/>
      <c r="R111" s="69"/>
      <c r="S111" s="69">
        <f>S108+S109+S110</f>
        <v>2241</v>
      </c>
      <c r="T111" s="69">
        <f>T108+T109+T110</f>
        <v>592</v>
      </c>
      <c r="V111" s="17">
        <f t="shared" ref="V111:AB111" si="84">V108+V109+V110</f>
        <v>192</v>
      </c>
      <c r="W111" s="17">
        <f t="shared" si="84"/>
        <v>114</v>
      </c>
      <c r="X111" s="17">
        <f t="shared" si="84"/>
        <v>6</v>
      </c>
      <c r="Y111" s="17"/>
      <c r="Z111" s="17">
        <f t="shared" si="84"/>
        <v>7</v>
      </c>
      <c r="AA111" s="17">
        <f t="shared" si="84"/>
        <v>2</v>
      </c>
      <c r="AB111" s="17">
        <f t="shared" si="84"/>
        <v>84</v>
      </c>
      <c r="AC111">
        <f t="shared" si="80"/>
        <v>405</v>
      </c>
    </row>
    <row r="112" spans="1:29" x14ac:dyDescent="0.25">
      <c r="B112" t="s">
        <v>74</v>
      </c>
      <c r="N112" s="11">
        <f>N111/(SUM($N111:$T111))</f>
        <v>0.43220589685435362</v>
      </c>
      <c r="O112" s="11">
        <f>O111/(SUM($N111:$T111))</f>
        <v>0.33887190612365642</v>
      </c>
      <c r="P112" s="11">
        <f>P111/(SUM($N111:$T111))</f>
        <v>8.924169214081451E-2</v>
      </c>
      <c r="Q112" s="11"/>
      <c r="R112" s="11"/>
      <c r="S112" s="11">
        <f>S111/(SUM($N111:$T111))</f>
        <v>0.11049206192683167</v>
      </c>
      <c r="T112" s="11">
        <f>T111/(SUM($N111:$T111))</f>
        <v>2.9188442954343752E-2</v>
      </c>
      <c r="V112" s="11">
        <f t="shared" ref="V112:AB112" si="85">V111/(SUM($V111:$AB111))</f>
        <v>0.47407407407407409</v>
      </c>
      <c r="W112" s="11">
        <f t="shared" si="85"/>
        <v>0.2814814814814815</v>
      </c>
      <c r="X112" s="11">
        <f t="shared" si="85"/>
        <v>1.4814814814814815E-2</v>
      </c>
      <c r="Y112" s="11">
        <f t="shared" si="85"/>
        <v>0</v>
      </c>
      <c r="Z112" s="11">
        <f t="shared" si="85"/>
        <v>1.7283950617283949E-2</v>
      </c>
      <c r="AA112" s="11">
        <f t="shared" si="85"/>
        <v>4.9382716049382715E-3</v>
      </c>
      <c r="AB112" s="11">
        <f t="shared" si="85"/>
        <v>0.2074074074074074</v>
      </c>
    </row>
    <row r="113" spans="1:29" x14ac:dyDescent="0.25">
      <c r="A113">
        <v>2014</v>
      </c>
      <c r="B113" t="s">
        <v>17</v>
      </c>
      <c r="C113" s="22">
        <v>1812</v>
      </c>
      <c r="D113" s="22">
        <v>1850</v>
      </c>
      <c r="E113" s="22">
        <v>1322</v>
      </c>
      <c r="F113" s="22">
        <v>849</v>
      </c>
      <c r="G113" s="22">
        <v>468</v>
      </c>
      <c r="H113" s="22">
        <f>51+171+389</f>
        <v>611</v>
      </c>
      <c r="I113" s="22"/>
      <c r="K113" s="22"/>
      <c r="N113" s="19">
        <v>615</v>
      </c>
      <c r="O113" s="19">
        <v>1058</v>
      </c>
      <c r="P113" s="19">
        <v>116</v>
      </c>
      <c r="Q113" s="19"/>
      <c r="R113" s="19"/>
      <c r="S113" s="19">
        <v>62</v>
      </c>
      <c r="T113" s="19"/>
      <c r="V113">
        <v>9</v>
      </c>
      <c r="W113">
        <v>20</v>
      </c>
      <c r="X113">
        <v>1</v>
      </c>
      <c r="Z113">
        <v>0</v>
      </c>
      <c r="AB113">
        <v>2</v>
      </c>
      <c r="AC113">
        <f t="shared" ref="AC113:AC121" si="86">SUM(V113:AB113)</f>
        <v>32</v>
      </c>
    </row>
    <row r="114" spans="1:29" x14ac:dyDescent="0.25">
      <c r="B114" t="s">
        <v>18</v>
      </c>
      <c r="C114" s="22">
        <v>792</v>
      </c>
      <c r="D114" s="22">
        <v>825</v>
      </c>
      <c r="E114" s="22">
        <v>533</v>
      </c>
      <c r="F114" s="22">
        <v>457</v>
      </c>
      <c r="G114" s="22">
        <v>586</v>
      </c>
      <c r="H114" s="22">
        <f>41+111+273</f>
        <v>425</v>
      </c>
      <c r="I114" s="22"/>
      <c r="K114" s="22"/>
      <c r="N114" s="19">
        <v>373</v>
      </c>
      <c r="O114" s="19">
        <v>1742</v>
      </c>
      <c r="P114" s="19">
        <v>189</v>
      </c>
      <c r="Q114" s="19"/>
      <c r="R114" s="19"/>
      <c r="S114" s="19">
        <v>141</v>
      </c>
      <c r="T114" s="19"/>
      <c r="V114">
        <v>2</v>
      </c>
      <c r="W114">
        <v>30</v>
      </c>
      <c r="X114">
        <v>0</v>
      </c>
      <c r="Z114">
        <v>0</v>
      </c>
      <c r="AB114">
        <v>4</v>
      </c>
      <c r="AC114">
        <f t="shared" si="86"/>
        <v>36</v>
      </c>
    </row>
    <row r="115" spans="1:29" x14ac:dyDescent="0.25">
      <c r="B115" t="s">
        <v>19</v>
      </c>
      <c r="C115" s="22">
        <v>391</v>
      </c>
      <c r="D115" s="22">
        <v>401</v>
      </c>
      <c r="E115" s="22">
        <v>287</v>
      </c>
      <c r="F115" s="22">
        <v>129</v>
      </c>
      <c r="G115" s="22">
        <v>311</v>
      </c>
      <c r="H115" s="22">
        <f>2+53+117</f>
        <v>172</v>
      </c>
      <c r="I115" s="22"/>
      <c r="K115" s="22"/>
      <c r="N115" s="19">
        <v>1186</v>
      </c>
      <c r="O115" s="19">
        <v>1169</v>
      </c>
      <c r="P115" s="19">
        <v>383</v>
      </c>
      <c r="Q115" s="19"/>
      <c r="R115" s="19"/>
      <c r="S115" s="19">
        <v>379</v>
      </c>
      <c r="T115" s="19"/>
      <c r="V115">
        <v>18</v>
      </c>
      <c r="W115">
        <v>21</v>
      </c>
      <c r="X115">
        <v>0</v>
      </c>
      <c r="Z115">
        <v>0</v>
      </c>
      <c r="AB115">
        <v>16</v>
      </c>
      <c r="AC115">
        <f t="shared" si="86"/>
        <v>55</v>
      </c>
    </row>
    <row r="116" spans="1:29" x14ac:dyDescent="0.25">
      <c r="B116" t="s">
        <v>20</v>
      </c>
      <c r="C116" s="22"/>
      <c r="D116" s="22"/>
      <c r="E116" s="22"/>
      <c r="F116" s="22"/>
      <c r="G116" s="22"/>
      <c r="H116" s="22"/>
      <c r="I116" s="22"/>
      <c r="K116" s="22"/>
      <c r="N116" s="19">
        <v>934</v>
      </c>
      <c r="O116" s="19">
        <v>382</v>
      </c>
      <c r="P116" s="19">
        <v>250</v>
      </c>
      <c r="Q116" s="19"/>
      <c r="R116" s="19"/>
      <c r="S116" s="19">
        <v>245</v>
      </c>
      <c r="T116" s="19"/>
      <c r="V116">
        <v>16</v>
      </c>
      <c r="W116">
        <v>2</v>
      </c>
      <c r="X116">
        <v>0</v>
      </c>
      <c r="Z116">
        <v>0</v>
      </c>
      <c r="AB116">
        <v>9</v>
      </c>
      <c r="AC116">
        <f t="shared" si="86"/>
        <v>27</v>
      </c>
    </row>
    <row r="117" spans="1:29" x14ac:dyDescent="0.25">
      <c r="B117" t="s">
        <v>21</v>
      </c>
      <c r="C117" s="22">
        <v>1152</v>
      </c>
      <c r="D117" s="22">
        <v>1116</v>
      </c>
      <c r="E117" s="22">
        <v>792</v>
      </c>
      <c r="F117" s="22">
        <v>441</v>
      </c>
      <c r="G117" s="22">
        <v>828</v>
      </c>
      <c r="H117" s="22">
        <f>18+109+164</f>
        <v>291</v>
      </c>
      <c r="I117" s="22"/>
      <c r="K117" s="22"/>
      <c r="N117" s="19">
        <v>4933</v>
      </c>
      <c r="O117" s="19">
        <v>1807</v>
      </c>
      <c r="P117" s="19">
        <v>1146</v>
      </c>
      <c r="Q117" s="19"/>
      <c r="R117" s="19"/>
      <c r="S117" s="19">
        <v>986</v>
      </c>
      <c r="T117" s="19"/>
      <c r="V117">
        <v>119</v>
      </c>
      <c r="W117">
        <v>33</v>
      </c>
      <c r="X117">
        <v>9</v>
      </c>
      <c r="Z117">
        <v>1</v>
      </c>
      <c r="AB117">
        <v>39</v>
      </c>
      <c r="AC117">
        <f t="shared" si="86"/>
        <v>201</v>
      </c>
    </row>
    <row r="118" spans="1:29" x14ac:dyDescent="0.25">
      <c r="A118" s="10"/>
      <c r="B118" s="10" t="s">
        <v>24</v>
      </c>
      <c r="C118" s="20">
        <f t="shared" ref="C118:H118" si="87">SUM(C113:C117)</f>
        <v>4147</v>
      </c>
      <c r="D118" s="20">
        <f t="shared" si="87"/>
        <v>4192</v>
      </c>
      <c r="E118" s="20">
        <f t="shared" si="87"/>
        <v>2934</v>
      </c>
      <c r="F118" s="20">
        <f t="shared" si="87"/>
        <v>1876</v>
      </c>
      <c r="G118" s="20">
        <f t="shared" si="87"/>
        <v>2193</v>
      </c>
      <c r="H118" s="20">
        <f t="shared" si="87"/>
        <v>1499</v>
      </c>
      <c r="J118" s="21"/>
      <c r="K118" s="21">
        <f>E118/C118</f>
        <v>0.70749939715456955</v>
      </c>
      <c r="L118" s="21">
        <f>E118/D118</f>
        <v>0.69990458015267176</v>
      </c>
      <c r="M118" s="21"/>
      <c r="N118" s="20">
        <f>SUM(N113:N117)</f>
        <v>8041</v>
      </c>
      <c r="O118" s="20">
        <f>SUM(O113:O117)</f>
        <v>6158</v>
      </c>
      <c r="P118" s="20">
        <f>SUM(P113:P117)</f>
        <v>2084</v>
      </c>
      <c r="Q118" s="20"/>
      <c r="R118" s="20"/>
      <c r="S118" s="20">
        <f>SUM(S113:S117)</f>
        <v>1813</v>
      </c>
      <c r="T118" s="20"/>
      <c r="U118" s="21"/>
      <c r="V118" s="20">
        <f t="shared" ref="V118:AB118" si="88">SUM(V113:V117)</f>
        <v>164</v>
      </c>
      <c r="W118" s="20">
        <f t="shared" si="88"/>
        <v>106</v>
      </c>
      <c r="X118" s="20">
        <f t="shared" si="88"/>
        <v>10</v>
      </c>
      <c r="Y118" s="20"/>
      <c r="Z118" s="20">
        <f t="shared" si="88"/>
        <v>1</v>
      </c>
      <c r="AA118" s="20"/>
      <c r="AB118" s="20">
        <f t="shared" si="88"/>
        <v>70</v>
      </c>
      <c r="AC118" s="10">
        <f t="shared" si="86"/>
        <v>351</v>
      </c>
    </row>
    <row r="119" spans="1:29" x14ac:dyDescent="0.25">
      <c r="B119" t="s">
        <v>22</v>
      </c>
      <c r="N119" s="19">
        <v>117</v>
      </c>
      <c r="O119" s="19">
        <v>399</v>
      </c>
      <c r="P119" s="19">
        <v>75</v>
      </c>
      <c r="Q119" s="19"/>
      <c r="R119" s="19"/>
      <c r="S119" s="19">
        <v>216</v>
      </c>
      <c r="T119" s="19">
        <v>416</v>
      </c>
      <c r="V119" s="19">
        <v>0</v>
      </c>
      <c r="W119" s="19">
        <v>5</v>
      </c>
      <c r="X119" s="19">
        <v>0</v>
      </c>
      <c r="Y119" s="19"/>
      <c r="Z119" s="19">
        <v>3</v>
      </c>
      <c r="AA119" s="19">
        <v>2</v>
      </c>
      <c r="AB119" s="19">
        <v>22</v>
      </c>
      <c r="AC119">
        <f t="shared" si="86"/>
        <v>32</v>
      </c>
    </row>
    <row r="120" spans="1:29" x14ac:dyDescent="0.25">
      <c r="B120" t="s">
        <v>23</v>
      </c>
      <c r="N120" s="19">
        <v>103</v>
      </c>
      <c r="O120" s="19">
        <v>572</v>
      </c>
      <c r="P120" s="19">
        <v>76</v>
      </c>
      <c r="Q120" s="19"/>
      <c r="R120" s="19"/>
      <c r="S120" s="19">
        <v>333</v>
      </c>
      <c r="T120" s="19">
        <v>170</v>
      </c>
      <c r="V120" s="19">
        <v>0</v>
      </c>
      <c r="W120" s="19">
        <v>10</v>
      </c>
      <c r="X120" s="19">
        <v>0</v>
      </c>
      <c r="Y120" s="19"/>
      <c r="Z120" s="19">
        <v>2</v>
      </c>
      <c r="AA120" s="19">
        <v>0</v>
      </c>
      <c r="AB120" s="19">
        <v>10</v>
      </c>
      <c r="AC120">
        <f t="shared" si="86"/>
        <v>22</v>
      </c>
    </row>
    <row r="121" spans="1:29" x14ac:dyDescent="0.25">
      <c r="B121" t="s">
        <v>14</v>
      </c>
      <c r="C121" s="19">
        <f t="shared" ref="C121:H121" si="89">C118+C119+C120</f>
        <v>4147</v>
      </c>
      <c r="D121" s="19">
        <f t="shared" si="89"/>
        <v>4192</v>
      </c>
      <c r="E121" s="19">
        <f t="shared" si="89"/>
        <v>2934</v>
      </c>
      <c r="F121" s="19">
        <f t="shared" si="89"/>
        <v>1876</v>
      </c>
      <c r="G121" s="19">
        <f t="shared" si="89"/>
        <v>2193</v>
      </c>
      <c r="H121" s="19">
        <f t="shared" si="89"/>
        <v>1499</v>
      </c>
      <c r="N121" s="69">
        <f>N118+N119+N120</f>
        <v>8261</v>
      </c>
      <c r="O121" s="69">
        <f>O118+O119+O120</f>
        <v>7129</v>
      </c>
      <c r="P121" s="69">
        <f>P118+P119+P120</f>
        <v>2235</v>
      </c>
      <c r="Q121" s="69"/>
      <c r="R121" s="69"/>
      <c r="S121" s="69">
        <f>S118+S119+S120</f>
        <v>2362</v>
      </c>
      <c r="T121" s="69">
        <f>T118+T119+T120</f>
        <v>586</v>
      </c>
      <c r="V121" s="17">
        <f t="shared" ref="V121:AB121" si="90">V118+V119+V120</f>
        <v>164</v>
      </c>
      <c r="W121" s="17">
        <f t="shared" si="90"/>
        <v>121</v>
      </c>
      <c r="X121" s="17">
        <f t="shared" si="90"/>
        <v>10</v>
      </c>
      <c r="Y121" s="17"/>
      <c r="Z121" s="17">
        <f t="shared" si="90"/>
        <v>6</v>
      </c>
      <c r="AA121" s="17">
        <f t="shared" si="90"/>
        <v>2</v>
      </c>
      <c r="AB121" s="17">
        <f t="shared" si="90"/>
        <v>102</v>
      </c>
      <c r="AC121">
        <f t="shared" si="86"/>
        <v>405</v>
      </c>
    </row>
    <row r="122" spans="1:29" x14ac:dyDescent="0.25">
      <c r="B122" t="s">
        <v>74</v>
      </c>
      <c r="N122" s="11">
        <f>N121/(SUM($N121:$T121))</f>
        <v>0.40154571525786226</v>
      </c>
      <c r="O122" s="11">
        <f>O121/(SUM($N121:$T121))</f>
        <v>0.34652214066980996</v>
      </c>
      <c r="P122" s="11">
        <f>P121/(SUM($N121:$T121))</f>
        <v>0.10863753463277111</v>
      </c>
      <c r="Q122" s="11"/>
      <c r="R122" s="11"/>
      <c r="S122" s="11">
        <f>S121/(SUM($N121:$T121))</f>
        <v>0.1148106741846109</v>
      </c>
      <c r="T122" s="11">
        <f>T121/(SUM($N121:$T121))</f>
        <v>2.8483935254945802E-2</v>
      </c>
      <c r="V122" s="11">
        <f t="shared" ref="V122:AB122" si="91">V121/(SUM($V121:$AB121))</f>
        <v>0.40493827160493828</v>
      </c>
      <c r="W122" s="11">
        <f t="shared" si="91"/>
        <v>0.29876543209876544</v>
      </c>
      <c r="X122" s="11">
        <f t="shared" si="91"/>
        <v>2.4691358024691357E-2</v>
      </c>
      <c r="Y122" s="11">
        <f t="shared" si="91"/>
        <v>0</v>
      </c>
      <c r="Z122" s="11">
        <f t="shared" si="91"/>
        <v>1.4814814814814815E-2</v>
      </c>
      <c r="AA122" s="11">
        <f t="shared" si="91"/>
        <v>4.9382716049382715E-3</v>
      </c>
      <c r="AB122" s="11">
        <f t="shared" si="91"/>
        <v>0.25185185185185183</v>
      </c>
    </row>
    <row r="123" spans="1:29" x14ac:dyDescent="0.25">
      <c r="A123">
        <v>2013</v>
      </c>
      <c r="B123" t="s">
        <v>17</v>
      </c>
      <c r="C123" s="19"/>
      <c r="D123" s="19"/>
      <c r="E123" s="19"/>
      <c r="F123" s="19"/>
      <c r="G123" s="19"/>
      <c r="H123" s="19"/>
      <c r="I123" s="19"/>
      <c r="K123" s="19"/>
      <c r="N123" s="19">
        <v>711</v>
      </c>
      <c r="O123" s="19">
        <v>870</v>
      </c>
      <c r="P123" s="19">
        <v>243</v>
      </c>
      <c r="Q123" s="19"/>
      <c r="R123" s="19"/>
      <c r="S123" s="19">
        <v>37</v>
      </c>
      <c r="T123" s="19"/>
      <c r="V123" s="19">
        <v>11</v>
      </c>
      <c r="W123" s="19">
        <v>17</v>
      </c>
      <c r="X123" s="19">
        <v>2</v>
      </c>
      <c r="Y123" s="19"/>
      <c r="Z123" s="19">
        <v>0</v>
      </c>
      <c r="AA123" s="19"/>
      <c r="AB123" s="19">
        <v>2</v>
      </c>
      <c r="AC123">
        <f t="shared" ref="AC123:AC131" si="92">SUM(V123:AB123)</f>
        <v>32</v>
      </c>
    </row>
    <row r="124" spans="1:29" x14ac:dyDescent="0.25">
      <c r="B124" t="s">
        <v>18</v>
      </c>
      <c r="C124" s="19"/>
      <c r="D124" s="19"/>
      <c r="E124" s="19"/>
      <c r="F124" s="19"/>
      <c r="G124" s="19"/>
      <c r="H124" s="19"/>
      <c r="I124" s="19"/>
      <c r="K124" s="19"/>
      <c r="N124" s="19">
        <v>397</v>
      </c>
      <c r="O124" s="19">
        <v>1712</v>
      </c>
      <c r="P124" s="19">
        <v>250</v>
      </c>
      <c r="Q124" s="19"/>
      <c r="R124" s="19"/>
      <c r="S124" s="19">
        <v>86</v>
      </c>
      <c r="T124" s="19"/>
      <c r="V124" s="19">
        <v>2</v>
      </c>
      <c r="W124" s="19">
        <v>29</v>
      </c>
      <c r="X124" s="19">
        <v>0</v>
      </c>
      <c r="Y124" s="19"/>
      <c r="Z124" s="19">
        <v>0</v>
      </c>
      <c r="AA124" s="19"/>
      <c r="AB124" s="19">
        <v>5</v>
      </c>
      <c r="AC124">
        <f t="shared" si="92"/>
        <v>36</v>
      </c>
    </row>
    <row r="125" spans="1:29" x14ac:dyDescent="0.25">
      <c r="B125" t="s">
        <v>19</v>
      </c>
      <c r="C125" s="19">
        <v>461</v>
      </c>
      <c r="D125" s="19">
        <v>394</v>
      </c>
      <c r="E125" s="19">
        <v>311</v>
      </c>
      <c r="F125" s="19">
        <v>77</v>
      </c>
      <c r="G125" s="19"/>
      <c r="H125" s="19">
        <f>7+248+196+90</f>
        <v>541</v>
      </c>
      <c r="I125" s="19"/>
      <c r="K125" s="19"/>
      <c r="N125" s="19">
        <v>1221</v>
      </c>
      <c r="O125" s="19">
        <v>1159</v>
      </c>
      <c r="P125" s="19">
        <v>425</v>
      </c>
      <c r="Q125" s="19"/>
      <c r="R125" s="19"/>
      <c r="S125" s="19">
        <v>306</v>
      </c>
      <c r="T125" s="19"/>
      <c r="V125" s="19">
        <v>20</v>
      </c>
      <c r="W125" s="19">
        <v>23</v>
      </c>
      <c r="X125" s="19">
        <v>1</v>
      </c>
      <c r="Y125" s="19"/>
      <c r="Z125" s="19">
        <v>0</v>
      </c>
      <c r="AA125" s="19"/>
      <c r="AB125" s="19">
        <v>11</v>
      </c>
      <c r="AC125">
        <f t="shared" si="92"/>
        <v>55</v>
      </c>
    </row>
    <row r="126" spans="1:29" x14ac:dyDescent="0.25">
      <c r="B126" t="s">
        <v>20</v>
      </c>
      <c r="C126" s="19">
        <v>1799</v>
      </c>
      <c r="D126" s="19">
        <v>1777</v>
      </c>
      <c r="E126" s="19">
        <v>1445</v>
      </c>
      <c r="F126" s="19">
        <v>813</v>
      </c>
      <c r="G126" s="19"/>
      <c r="H126" s="19">
        <f>93+1483+297+267</f>
        <v>2140</v>
      </c>
      <c r="I126" s="19"/>
      <c r="K126" s="19"/>
      <c r="N126" s="19">
        <v>933</v>
      </c>
      <c r="O126" s="19">
        <v>380</v>
      </c>
      <c r="P126" s="19">
        <v>252</v>
      </c>
      <c r="Q126" s="19"/>
      <c r="R126" s="19"/>
      <c r="S126" s="19">
        <v>246</v>
      </c>
      <c r="T126" s="19"/>
      <c r="V126" s="19">
        <v>16</v>
      </c>
      <c r="W126" s="19">
        <v>2</v>
      </c>
      <c r="X126" s="19">
        <v>0</v>
      </c>
      <c r="Y126" s="19"/>
      <c r="Z126" s="19">
        <v>0</v>
      </c>
      <c r="AA126" s="19"/>
      <c r="AB126" s="19">
        <v>9</v>
      </c>
      <c r="AC126">
        <f t="shared" si="92"/>
        <v>27</v>
      </c>
    </row>
    <row r="127" spans="1:29" x14ac:dyDescent="0.25">
      <c r="B127" t="s">
        <v>21</v>
      </c>
      <c r="C127" s="22"/>
      <c r="D127" s="22"/>
      <c r="E127" s="22"/>
      <c r="F127" s="22"/>
      <c r="G127" s="22"/>
      <c r="H127" s="22"/>
      <c r="I127" s="20"/>
      <c r="K127" s="20"/>
      <c r="N127" s="19">
        <v>5104</v>
      </c>
      <c r="O127" s="19">
        <v>1746</v>
      </c>
      <c r="P127" s="19">
        <v>1251</v>
      </c>
      <c r="Q127" s="19"/>
      <c r="R127" s="19"/>
      <c r="S127" s="19">
        <v>782</v>
      </c>
      <c r="T127" s="19"/>
      <c r="V127" s="19">
        <v>131</v>
      </c>
      <c r="W127" s="19">
        <v>32</v>
      </c>
      <c r="X127" s="19">
        <v>9</v>
      </c>
      <c r="Y127" s="19"/>
      <c r="Z127" s="19">
        <v>1</v>
      </c>
      <c r="AA127" s="19"/>
      <c r="AB127" s="19">
        <v>28</v>
      </c>
      <c r="AC127">
        <f t="shared" si="92"/>
        <v>201</v>
      </c>
    </row>
    <row r="128" spans="1:29" x14ac:dyDescent="0.25">
      <c r="A128" s="10"/>
      <c r="B128" s="10" t="s">
        <v>24</v>
      </c>
      <c r="C128" s="20">
        <f>SUM(C123:C127)</f>
        <v>2260</v>
      </c>
      <c r="D128" s="20">
        <f>SUM(D123:D127)</f>
        <v>2171</v>
      </c>
      <c r="E128" s="20">
        <f>SUM(E123:E127)</f>
        <v>1756</v>
      </c>
      <c r="F128" s="20">
        <f>SUM(F123:F127)</f>
        <v>890</v>
      </c>
      <c r="G128" s="20"/>
      <c r="H128" s="20">
        <f>SUM(H123:H127)</f>
        <v>2681</v>
      </c>
      <c r="I128" s="19"/>
      <c r="J128" s="21"/>
      <c r="K128" s="21">
        <f>E128/C128</f>
        <v>0.77699115044247791</v>
      </c>
      <c r="L128" s="21">
        <f>E128/D128</f>
        <v>0.80884385076001841</v>
      </c>
      <c r="M128" s="21"/>
      <c r="N128" s="20">
        <f>SUM(N123:N127)</f>
        <v>8366</v>
      </c>
      <c r="O128" s="20">
        <f>SUM(O123:O127)</f>
        <v>5867</v>
      </c>
      <c r="P128" s="20">
        <f>SUM(P123:P127)</f>
        <v>2421</v>
      </c>
      <c r="Q128" s="20"/>
      <c r="R128" s="20"/>
      <c r="S128" s="20">
        <f>SUM(S123:S127)</f>
        <v>1457</v>
      </c>
      <c r="T128" s="20"/>
      <c r="U128" s="21"/>
      <c r="V128" s="20">
        <f t="shared" ref="V128:AB128" si="93">SUM(V123:V127)</f>
        <v>180</v>
      </c>
      <c r="W128" s="20">
        <f t="shared" si="93"/>
        <v>103</v>
      </c>
      <c r="X128" s="20">
        <f t="shared" si="93"/>
        <v>12</v>
      </c>
      <c r="Y128" s="20"/>
      <c r="Z128" s="20">
        <f t="shared" si="93"/>
        <v>1</v>
      </c>
      <c r="AA128" s="20"/>
      <c r="AB128" s="20">
        <f t="shared" si="93"/>
        <v>55</v>
      </c>
      <c r="AC128" s="10">
        <f t="shared" si="92"/>
        <v>351</v>
      </c>
    </row>
    <row r="129" spans="1:29" x14ac:dyDescent="0.25">
      <c r="B129" t="s">
        <v>22</v>
      </c>
      <c r="C129" s="19"/>
      <c r="D129" s="19"/>
      <c r="E129" s="19"/>
      <c r="F129" s="19"/>
      <c r="G129" s="19"/>
      <c r="H129" s="19"/>
      <c r="I129" s="19"/>
      <c r="K129" s="19"/>
      <c r="N129" s="19">
        <v>117</v>
      </c>
      <c r="O129" s="19">
        <v>396</v>
      </c>
      <c r="P129" s="19">
        <v>75</v>
      </c>
      <c r="Q129" s="19"/>
      <c r="R129" s="19"/>
      <c r="S129" s="19">
        <v>215</v>
      </c>
      <c r="T129" s="19">
        <v>420</v>
      </c>
      <c r="V129" s="19">
        <v>0</v>
      </c>
      <c r="W129" s="19">
        <v>5</v>
      </c>
      <c r="X129" s="19">
        <v>0</v>
      </c>
      <c r="Y129" s="19"/>
      <c r="Z129" s="19">
        <v>3</v>
      </c>
      <c r="AA129" s="19">
        <v>2</v>
      </c>
      <c r="AB129" s="19">
        <v>22</v>
      </c>
      <c r="AC129">
        <f t="shared" si="92"/>
        <v>32</v>
      </c>
    </row>
    <row r="130" spans="1:29" x14ac:dyDescent="0.25">
      <c r="B130" t="s">
        <v>23</v>
      </c>
      <c r="C130" s="19">
        <v>14</v>
      </c>
      <c r="D130" s="19">
        <v>20</v>
      </c>
      <c r="E130" s="19">
        <v>5</v>
      </c>
      <c r="F130" s="19">
        <v>0</v>
      </c>
      <c r="G130" s="19"/>
      <c r="H130" s="19">
        <f>11+23</f>
        <v>34</v>
      </c>
      <c r="I130" s="19">
        <v>26</v>
      </c>
      <c r="K130" s="19"/>
      <c r="N130" s="19">
        <v>106</v>
      </c>
      <c r="O130" s="19">
        <v>579</v>
      </c>
      <c r="P130" s="19">
        <v>80</v>
      </c>
      <c r="Q130" s="19"/>
      <c r="R130" s="19"/>
      <c r="S130" s="19">
        <v>319</v>
      </c>
      <c r="T130" s="19">
        <v>170</v>
      </c>
      <c r="V130" s="19">
        <v>0</v>
      </c>
      <c r="W130" s="19">
        <v>10</v>
      </c>
      <c r="X130" s="19">
        <v>0</v>
      </c>
      <c r="Y130" s="19"/>
      <c r="Z130" s="19">
        <v>2</v>
      </c>
      <c r="AA130" s="19">
        <v>0</v>
      </c>
      <c r="AB130" s="19">
        <v>10</v>
      </c>
      <c r="AC130">
        <f t="shared" si="92"/>
        <v>22</v>
      </c>
    </row>
    <row r="131" spans="1:29" x14ac:dyDescent="0.25">
      <c r="B131" t="s">
        <v>14</v>
      </c>
      <c r="C131" s="19">
        <f t="shared" ref="C131:I131" si="94">C128+C129+C130</f>
        <v>2274</v>
      </c>
      <c r="D131" s="19">
        <f t="shared" si="94"/>
        <v>2191</v>
      </c>
      <c r="E131" s="19">
        <f t="shared" si="94"/>
        <v>1761</v>
      </c>
      <c r="F131" s="19">
        <f t="shared" si="94"/>
        <v>890</v>
      </c>
      <c r="G131" s="19"/>
      <c r="H131" s="19">
        <f t="shared" si="94"/>
        <v>2715</v>
      </c>
      <c r="I131" s="19">
        <f t="shared" si="94"/>
        <v>26</v>
      </c>
      <c r="K131" s="19"/>
      <c r="N131" s="69">
        <f>N128+N129+N130</f>
        <v>8589</v>
      </c>
      <c r="O131" s="69">
        <f>O128+O129+O130</f>
        <v>6842</v>
      </c>
      <c r="P131" s="69">
        <f>P128+P129+P130</f>
        <v>2576</v>
      </c>
      <c r="Q131" s="69"/>
      <c r="R131" s="69"/>
      <c r="S131" s="69">
        <f>S128+S129+S130</f>
        <v>1991</v>
      </c>
      <c r="T131" s="69">
        <f>T128+T129+T130</f>
        <v>590</v>
      </c>
      <c r="V131" s="17">
        <f t="shared" ref="V131:AB131" si="95">V128+V129+V130</f>
        <v>180</v>
      </c>
      <c r="W131" s="17">
        <f t="shared" si="95"/>
        <v>118</v>
      </c>
      <c r="X131" s="17">
        <f t="shared" si="95"/>
        <v>12</v>
      </c>
      <c r="Y131" s="17"/>
      <c r="Z131" s="17">
        <f t="shared" si="95"/>
        <v>6</v>
      </c>
      <c r="AA131" s="17">
        <f t="shared" si="95"/>
        <v>2</v>
      </c>
      <c r="AB131" s="17">
        <f t="shared" si="95"/>
        <v>87</v>
      </c>
      <c r="AC131">
        <f t="shared" si="92"/>
        <v>405</v>
      </c>
    </row>
    <row r="132" spans="1:29" x14ac:dyDescent="0.25">
      <c r="B132" t="s">
        <v>74</v>
      </c>
      <c r="N132" s="11">
        <f>N131/(SUM($N131:$T131))</f>
        <v>0.41718476782591801</v>
      </c>
      <c r="O132" s="11">
        <f>O131/(SUM($N131:$T131))</f>
        <v>0.33232951233728386</v>
      </c>
      <c r="P132" s="11">
        <f>P131/(SUM($N131:$T131))</f>
        <v>0.12512142995919953</v>
      </c>
      <c r="Q132" s="11"/>
      <c r="R132" s="11"/>
      <c r="S132" s="11">
        <f>S131/(SUM($N131:$T131))</f>
        <v>9.670681950650864E-2</v>
      </c>
      <c r="T132" s="11">
        <f>T131/(SUM($N131:$T131))</f>
        <v>2.8657470371089955E-2</v>
      </c>
      <c r="V132" s="11">
        <f t="shared" ref="V132:AB132" si="96">V131/(SUM($V131:$AB131))</f>
        <v>0.44444444444444442</v>
      </c>
      <c r="W132" s="11">
        <f t="shared" si="96"/>
        <v>0.29135802469135802</v>
      </c>
      <c r="X132" s="11">
        <f t="shared" si="96"/>
        <v>2.9629629629629631E-2</v>
      </c>
      <c r="Y132" s="11">
        <f t="shared" si="96"/>
        <v>0</v>
      </c>
      <c r="Z132" s="11">
        <f t="shared" si="96"/>
        <v>1.4814814814814815E-2</v>
      </c>
      <c r="AA132" s="11">
        <f t="shared" si="96"/>
        <v>4.9382716049382715E-3</v>
      </c>
      <c r="AB132" s="11">
        <f t="shared" si="96"/>
        <v>0.21481481481481482</v>
      </c>
    </row>
    <row r="133" spans="1:29" x14ac:dyDescent="0.25">
      <c r="A133">
        <v>2012</v>
      </c>
      <c r="B133" t="s">
        <v>17</v>
      </c>
      <c r="C133" s="19"/>
      <c r="D133" s="19"/>
      <c r="E133" s="19"/>
      <c r="F133" s="19"/>
      <c r="G133" s="19"/>
      <c r="H133" s="19"/>
      <c r="I133" s="19"/>
      <c r="K133" s="19"/>
      <c r="N133" s="19">
        <v>716</v>
      </c>
      <c r="O133" s="19">
        <v>874</v>
      </c>
      <c r="P133" s="19">
        <v>246</v>
      </c>
      <c r="Q133" s="19"/>
      <c r="R133" s="19"/>
      <c r="S133" s="19">
        <v>25</v>
      </c>
      <c r="T133" s="19"/>
      <c r="V133" s="19">
        <v>11</v>
      </c>
      <c r="W133" s="19">
        <v>17</v>
      </c>
      <c r="X133" s="19">
        <v>2</v>
      </c>
      <c r="Y133" s="19"/>
      <c r="Z133" s="19">
        <v>0</v>
      </c>
      <c r="AA133" s="19"/>
      <c r="AB133" s="19">
        <v>2</v>
      </c>
      <c r="AC133">
        <f t="shared" ref="AC133:AC141" si="97">SUM(V133:AB133)</f>
        <v>32</v>
      </c>
    </row>
    <row r="134" spans="1:29" x14ac:dyDescent="0.25">
      <c r="B134" t="s">
        <v>18</v>
      </c>
      <c r="C134" s="19">
        <v>797</v>
      </c>
      <c r="D134" s="19">
        <v>822</v>
      </c>
      <c r="E134" s="19">
        <v>589</v>
      </c>
      <c r="F134" s="19">
        <v>392</v>
      </c>
      <c r="G134" s="19"/>
      <c r="H134" s="19">
        <f>92+254+126+219</f>
        <v>691</v>
      </c>
      <c r="I134" s="19"/>
      <c r="K134" s="19"/>
      <c r="N134" s="19">
        <v>400</v>
      </c>
      <c r="O134" s="19">
        <v>1712</v>
      </c>
      <c r="P134" s="19">
        <v>248</v>
      </c>
      <c r="Q134" s="19"/>
      <c r="R134" s="19"/>
      <c r="S134" s="19">
        <v>85</v>
      </c>
      <c r="T134" s="19"/>
      <c r="V134" s="19">
        <v>2</v>
      </c>
      <c r="W134" s="19">
        <v>29</v>
      </c>
      <c r="X134" s="19">
        <v>0</v>
      </c>
      <c r="Y134" s="19"/>
      <c r="Z134" s="19">
        <v>0</v>
      </c>
      <c r="AA134" s="19"/>
      <c r="AB134" s="19">
        <v>5</v>
      </c>
      <c r="AC134">
        <f t="shared" si="97"/>
        <v>36</v>
      </c>
    </row>
    <row r="135" spans="1:29" x14ac:dyDescent="0.25">
      <c r="B135" t="s">
        <v>19</v>
      </c>
      <c r="C135" s="19">
        <v>338</v>
      </c>
      <c r="D135" s="19">
        <v>365</v>
      </c>
      <c r="E135" s="19">
        <v>261</v>
      </c>
      <c r="F135" s="19">
        <v>101</v>
      </c>
      <c r="G135" s="19"/>
      <c r="H135" s="19">
        <f>7+137+58+77</f>
        <v>279</v>
      </c>
      <c r="I135" s="19"/>
      <c r="K135" s="19"/>
      <c r="N135" s="19">
        <v>1262</v>
      </c>
      <c r="O135" s="19">
        <v>1102</v>
      </c>
      <c r="P135" s="19">
        <v>472</v>
      </c>
      <c r="Q135" s="19"/>
      <c r="R135" s="19"/>
      <c r="S135" s="19">
        <v>275</v>
      </c>
      <c r="T135" s="19"/>
      <c r="V135" s="19">
        <v>20</v>
      </c>
      <c r="W135" s="19">
        <v>23</v>
      </c>
      <c r="X135" s="19">
        <v>1</v>
      </c>
      <c r="Y135" s="19"/>
      <c r="Z135" s="19">
        <v>0</v>
      </c>
      <c r="AA135" s="19"/>
      <c r="AB135" s="19">
        <v>11</v>
      </c>
      <c r="AC135">
        <f t="shared" si="97"/>
        <v>55</v>
      </c>
    </row>
    <row r="136" spans="1:29" x14ac:dyDescent="0.25">
      <c r="B136" t="s">
        <v>20</v>
      </c>
      <c r="C136" s="19"/>
      <c r="D136" s="19"/>
      <c r="E136" s="19"/>
      <c r="F136" s="19"/>
      <c r="G136" s="19"/>
      <c r="H136" s="19"/>
      <c r="I136" s="19"/>
      <c r="K136" s="19"/>
      <c r="N136" s="19">
        <v>1262</v>
      </c>
      <c r="O136" s="19">
        <v>153</v>
      </c>
      <c r="P136" s="19">
        <v>343</v>
      </c>
      <c r="Q136" s="19"/>
      <c r="R136" s="19"/>
      <c r="S136" s="19">
        <v>100</v>
      </c>
      <c r="T136" s="19"/>
      <c r="V136" s="19">
        <v>26</v>
      </c>
      <c r="W136" s="19">
        <v>0</v>
      </c>
      <c r="X136" s="19">
        <v>0</v>
      </c>
      <c r="Y136" s="19"/>
      <c r="Z136" s="19">
        <v>0</v>
      </c>
      <c r="AA136" s="19"/>
      <c r="AB136" s="19">
        <v>1</v>
      </c>
      <c r="AC136">
        <f t="shared" si="97"/>
        <v>27</v>
      </c>
    </row>
    <row r="137" spans="1:29" x14ac:dyDescent="0.25">
      <c r="B137" t="s">
        <v>21</v>
      </c>
      <c r="C137" s="22">
        <v>1205</v>
      </c>
      <c r="D137" s="22">
        <v>1112</v>
      </c>
      <c r="E137" s="22">
        <v>839</v>
      </c>
      <c r="F137" s="22">
        <v>369</v>
      </c>
      <c r="G137" s="22"/>
      <c r="H137" s="22">
        <f>31+301+105+121</f>
        <v>558</v>
      </c>
      <c r="I137" s="20"/>
      <c r="K137" s="20"/>
      <c r="N137" s="19">
        <v>5141</v>
      </c>
      <c r="O137" s="19">
        <v>1741</v>
      </c>
      <c r="P137" s="19">
        <v>1246</v>
      </c>
      <c r="Q137" s="19"/>
      <c r="R137" s="19"/>
      <c r="S137" s="19">
        <v>755</v>
      </c>
      <c r="T137" s="19"/>
      <c r="V137" s="19">
        <v>131</v>
      </c>
      <c r="W137" s="19">
        <v>31</v>
      </c>
      <c r="X137" s="19">
        <v>9</v>
      </c>
      <c r="Y137" s="19"/>
      <c r="Z137" s="19">
        <v>0</v>
      </c>
      <c r="AA137" s="19"/>
      <c r="AB137" s="19">
        <v>30</v>
      </c>
      <c r="AC137">
        <f t="shared" si="97"/>
        <v>201</v>
      </c>
    </row>
    <row r="138" spans="1:29" x14ac:dyDescent="0.25">
      <c r="A138" s="10"/>
      <c r="B138" s="10" t="s">
        <v>24</v>
      </c>
      <c r="C138" s="20">
        <f>SUM(C133:C137)</f>
        <v>2340</v>
      </c>
      <c r="D138" s="20">
        <f>SUM(D133:D137)</f>
        <v>2299</v>
      </c>
      <c r="E138" s="20">
        <f>SUM(E133:E137)</f>
        <v>1689</v>
      </c>
      <c r="F138" s="20">
        <f>SUM(F133:F137)</f>
        <v>862</v>
      </c>
      <c r="G138" s="20"/>
      <c r="H138" s="20">
        <f>SUM(H133:H137)</f>
        <v>1528</v>
      </c>
      <c r="I138" s="19"/>
      <c r="J138" s="21"/>
      <c r="K138" s="21">
        <f>E138/C138</f>
        <v>0.72179487179487178</v>
      </c>
      <c r="L138" s="21">
        <f>E138/D138</f>
        <v>0.7346672466289691</v>
      </c>
      <c r="M138" s="21"/>
      <c r="N138" s="20">
        <f>SUM(N133:N137)</f>
        <v>8781</v>
      </c>
      <c r="O138" s="20">
        <f>SUM(O133:O137)</f>
        <v>5582</v>
      </c>
      <c r="P138" s="20">
        <f>SUM(P133:P137)</f>
        <v>2555</v>
      </c>
      <c r="Q138" s="20"/>
      <c r="R138" s="20"/>
      <c r="S138" s="20">
        <f>SUM(S133:S137)</f>
        <v>1240</v>
      </c>
      <c r="T138" s="20"/>
      <c r="U138" s="21"/>
      <c r="V138" s="20">
        <f t="shared" ref="V138:AB138" si="98">SUM(V133:V137)</f>
        <v>190</v>
      </c>
      <c r="W138" s="20">
        <f t="shared" si="98"/>
        <v>100</v>
      </c>
      <c r="X138" s="20">
        <f t="shared" si="98"/>
        <v>12</v>
      </c>
      <c r="Y138" s="20"/>
      <c r="Z138" s="20">
        <f t="shared" si="98"/>
        <v>0</v>
      </c>
      <c r="AA138" s="20"/>
      <c r="AB138" s="20">
        <f t="shared" si="98"/>
        <v>49</v>
      </c>
      <c r="AC138" s="10">
        <f t="shared" si="97"/>
        <v>351</v>
      </c>
    </row>
    <row r="139" spans="1:29" x14ac:dyDescent="0.25">
      <c r="B139" t="s">
        <v>22</v>
      </c>
      <c r="C139" s="19">
        <v>362</v>
      </c>
      <c r="D139" s="19">
        <v>497</v>
      </c>
      <c r="E139" s="19">
        <v>247</v>
      </c>
      <c r="F139" s="19">
        <v>86</v>
      </c>
      <c r="G139" s="19"/>
      <c r="H139" s="19">
        <f>465+226</f>
        <v>691</v>
      </c>
      <c r="I139" s="19">
        <v>613</v>
      </c>
      <c r="K139" s="19"/>
      <c r="N139" s="19">
        <v>116</v>
      </c>
      <c r="O139" s="19">
        <v>395</v>
      </c>
      <c r="P139" s="19">
        <v>75</v>
      </c>
      <c r="Q139" s="19"/>
      <c r="R139" s="19"/>
      <c r="S139" s="19">
        <v>214</v>
      </c>
      <c r="T139" s="19">
        <v>423</v>
      </c>
      <c r="V139" s="19">
        <v>0</v>
      </c>
      <c r="W139" s="19">
        <v>4</v>
      </c>
      <c r="X139" s="19">
        <v>0</v>
      </c>
      <c r="Y139" s="19"/>
      <c r="Z139" s="19">
        <v>3</v>
      </c>
      <c r="AA139" s="19">
        <v>2</v>
      </c>
      <c r="AB139" s="19">
        <v>23</v>
      </c>
      <c r="AC139">
        <f t="shared" si="97"/>
        <v>32</v>
      </c>
    </row>
    <row r="140" spans="1:29" x14ac:dyDescent="0.25">
      <c r="B140" t="s">
        <v>23</v>
      </c>
      <c r="C140" s="19">
        <v>570</v>
      </c>
      <c r="D140" s="19">
        <v>887</v>
      </c>
      <c r="E140" s="19">
        <v>340</v>
      </c>
      <c r="F140" s="19">
        <v>68</v>
      </c>
      <c r="G140" s="19"/>
      <c r="H140" s="19">
        <f>2+13+601+116</f>
        <v>732</v>
      </c>
      <c r="I140" s="19">
        <v>559</v>
      </c>
      <c r="K140" s="19"/>
      <c r="N140" s="19">
        <v>107</v>
      </c>
      <c r="O140" s="19">
        <v>582</v>
      </c>
      <c r="P140" s="19">
        <v>81</v>
      </c>
      <c r="Q140" s="19"/>
      <c r="R140" s="19"/>
      <c r="S140" s="19">
        <v>333</v>
      </c>
      <c r="T140" s="19">
        <v>161</v>
      </c>
      <c r="V140" s="19">
        <v>0</v>
      </c>
      <c r="W140" s="19">
        <v>10</v>
      </c>
      <c r="X140" s="19">
        <v>0</v>
      </c>
      <c r="Y140" s="19"/>
      <c r="Z140" s="19">
        <v>3</v>
      </c>
      <c r="AA140" s="19">
        <v>0</v>
      </c>
      <c r="AB140" s="19">
        <v>9</v>
      </c>
      <c r="AC140">
        <f t="shared" si="97"/>
        <v>22</v>
      </c>
    </row>
    <row r="141" spans="1:29" x14ac:dyDescent="0.25">
      <c r="B141" t="s">
        <v>14</v>
      </c>
      <c r="C141" s="19">
        <f t="shared" ref="C141:I141" si="99">C138+C139+C140</f>
        <v>3272</v>
      </c>
      <c r="D141" s="19">
        <f t="shared" si="99"/>
        <v>3683</v>
      </c>
      <c r="E141" s="19">
        <f t="shared" si="99"/>
        <v>2276</v>
      </c>
      <c r="F141" s="19">
        <f t="shared" si="99"/>
        <v>1016</v>
      </c>
      <c r="G141" s="19"/>
      <c r="H141" s="19">
        <f t="shared" si="99"/>
        <v>2951</v>
      </c>
      <c r="I141" s="19">
        <f t="shared" si="99"/>
        <v>1172</v>
      </c>
      <c r="K141" s="19"/>
      <c r="N141" s="69">
        <f>N138+N139+N140</f>
        <v>9004</v>
      </c>
      <c r="O141" s="69">
        <f>O138+O139+O140</f>
        <v>6559</v>
      </c>
      <c r="P141" s="69">
        <f>P138+P139+P140</f>
        <v>2711</v>
      </c>
      <c r="Q141" s="69"/>
      <c r="R141" s="69"/>
      <c r="S141" s="69">
        <f>S138+S139+S140</f>
        <v>1787</v>
      </c>
      <c r="T141" s="69">
        <f>T138+T139+T140</f>
        <v>584</v>
      </c>
      <c r="V141" s="17">
        <f t="shared" ref="V141:AB141" si="100">V138+V139+V140</f>
        <v>190</v>
      </c>
      <c r="W141" s="17">
        <f t="shared" si="100"/>
        <v>114</v>
      </c>
      <c r="X141" s="17">
        <f t="shared" si="100"/>
        <v>12</v>
      </c>
      <c r="Y141" s="17"/>
      <c r="Z141" s="17">
        <f t="shared" si="100"/>
        <v>6</v>
      </c>
      <c r="AA141" s="17">
        <f t="shared" si="100"/>
        <v>2</v>
      </c>
      <c r="AB141" s="17">
        <f t="shared" si="100"/>
        <v>81</v>
      </c>
      <c r="AC141">
        <f t="shared" si="97"/>
        <v>405</v>
      </c>
    </row>
    <row r="142" spans="1:29" x14ac:dyDescent="0.25">
      <c r="B142" t="s">
        <v>74</v>
      </c>
      <c r="N142" s="11">
        <f>N141/(SUM($N141:$T141))</f>
        <v>0.43613465730201018</v>
      </c>
      <c r="O142" s="11">
        <f>O141/(SUM($N141:$T141))</f>
        <v>0.31770404456284812</v>
      </c>
      <c r="P142" s="11">
        <f>P141/(SUM($N141:$T141))</f>
        <v>0.13131508839912812</v>
      </c>
      <c r="Q142" s="11"/>
      <c r="R142" s="11"/>
      <c r="S142" s="11">
        <f>S141/(SUM($N141:$T141))</f>
        <v>8.6558488738193273E-2</v>
      </c>
      <c r="T142" s="11">
        <f>T141/(SUM($N141:$T141))</f>
        <v>2.8287720997820294E-2</v>
      </c>
      <c r="V142" s="11">
        <f t="shared" ref="V142:AB142" si="101">V141/(SUM($V141:$AB141))</f>
        <v>0.46913580246913578</v>
      </c>
      <c r="W142" s="11">
        <f t="shared" si="101"/>
        <v>0.2814814814814815</v>
      </c>
      <c r="X142" s="11">
        <f t="shared" si="101"/>
        <v>2.9629629629629631E-2</v>
      </c>
      <c r="Y142" s="11">
        <f t="shared" si="101"/>
        <v>0</v>
      </c>
      <c r="Z142" s="11">
        <f t="shared" si="101"/>
        <v>1.4814814814814815E-2</v>
      </c>
      <c r="AA142" s="11">
        <f t="shared" si="101"/>
        <v>4.9382716049382715E-3</v>
      </c>
      <c r="AB142" s="11">
        <f t="shared" si="101"/>
        <v>0.2</v>
      </c>
    </row>
    <row r="143" spans="1:29" x14ac:dyDescent="0.25">
      <c r="A143">
        <v>2011</v>
      </c>
      <c r="B143" t="s">
        <v>17</v>
      </c>
      <c r="C143" s="19"/>
      <c r="D143" s="19"/>
      <c r="E143" s="19"/>
      <c r="F143" s="19"/>
      <c r="G143" s="19"/>
      <c r="H143" s="19"/>
      <c r="I143" s="19"/>
      <c r="K143" s="19"/>
      <c r="N143" s="19">
        <v>716</v>
      </c>
      <c r="O143" s="19">
        <v>875</v>
      </c>
      <c r="P143" s="19">
        <v>246</v>
      </c>
      <c r="Q143" s="19"/>
      <c r="R143" s="19"/>
      <c r="S143" s="19">
        <v>24</v>
      </c>
      <c r="T143" s="19"/>
      <c r="V143" s="19">
        <v>11</v>
      </c>
      <c r="W143" s="19">
        <v>17</v>
      </c>
      <c r="X143" s="19">
        <v>2</v>
      </c>
      <c r="Y143" s="19"/>
      <c r="Z143" s="19">
        <v>0</v>
      </c>
      <c r="AA143" s="19"/>
      <c r="AB143" s="19">
        <v>2</v>
      </c>
      <c r="AC143">
        <f t="shared" ref="AC143:AC151" si="102">SUM(V143:AB143)</f>
        <v>32</v>
      </c>
    </row>
    <row r="144" spans="1:29" x14ac:dyDescent="0.25">
      <c r="B144" t="s">
        <v>18</v>
      </c>
      <c r="C144" s="19">
        <v>801</v>
      </c>
      <c r="D144" s="19">
        <v>824</v>
      </c>
      <c r="E144" s="19">
        <v>644</v>
      </c>
      <c r="F144" s="19">
        <v>370</v>
      </c>
      <c r="G144" s="19"/>
      <c r="H144" s="19">
        <f>140+207+121+197</f>
        <v>665</v>
      </c>
      <c r="I144" s="19"/>
      <c r="K144" s="19"/>
      <c r="N144" s="19">
        <v>531</v>
      </c>
      <c r="O144" s="19">
        <v>1435</v>
      </c>
      <c r="P144" s="19">
        <v>367</v>
      </c>
      <c r="Q144" s="19"/>
      <c r="R144" s="19"/>
      <c r="S144" s="19">
        <v>112</v>
      </c>
      <c r="T144" s="19"/>
      <c r="V144" s="19">
        <v>3</v>
      </c>
      <c r="W144" s="19">
        <v>24</v>
      </c>
      <c r="X144" s="19">
        <v>0</v>
      </c>
      <c r="Y144" s="19"/>
      <c r="Z144" s="19">
        <v>0</v>
      </c>
      <c r="AA144" s="19"/>
      <c r="AB144" s="19">
        <v>9</v>
      </c>
      <c r="AC144">
        <f t="shared" si="102"/>
        <v>36</v>
      </c>
    </row>
    <row r="145" spans="1:29" x14ac:dyDescent="0.25">
      <c r="B145" t="s">
        <v>19</v>
      </c>
      <c r="C145" s="19">
        <v>1814</v>
      </c>
      <c r="D145" s="19">
        <v>1705</v>
      </c>
      <c r="E145" s="19">
        <v>1371</v>
      </c>
      <c r="F145" s="19">
        <v>355</v>
      </c>
      <c r="G145" s="19"/>
      <c r="H145" s="19">
        <f>49+277+407+250</f>
        <v>983</v>
      </c>
      <c r="I145" s="19"/>
      <c r="K145" s="19"/>
      <c r="N145" s="19">
        <v>1325</v>
      </c>
      <c r="O145" s="19">
        <v>1018</v>
      </c>
      <c r="P145" s="19">
        <v>504</v>
      </c>
      <c r="Q145" s="19"/>
      <c r="R145" s="19"/>
      <c r="S145" s="19">
        <v>280</v>
      </c>
      <c r="T145" s="19"/>
      <c r="V145" s="19">
        <v>23</v>
      </c>
      <c r="W145" s="19">
        <v>17</v>
      </c>
      <c r="X145" s="19">
        <v>1</v>
      </c>
      <c r="Y145" s="19"/>
      <c r="Z145" s="19">
        <v>0</v>
      </c>
      <c r="AA145" s="19"/>
      <c r="AB145" s="19">
        <v>14</v>
      </c>
      <c r="AC145">
        <f t="shared" si="102"/>
        <v>55</v>
      </c>
    </row>
    <row r="146" spans="1:29" x14ac:dyDescent="0.25">
      <c r="B146" t="s">
        <v>20</v>
      </c>
      <c r="C146" s="19"/>
      <c r="D146" s="19"/>
      <c r="E146" s="19"/>
      <c r="F146" s="19"/>
      <c r="G146" s="19"/>
      <c r="H146" s="19"/>
      <c r="I146" s="19"/>
      <c r="K146" s="19"/>
      <c r="N146" s="19">
        <v>1262</v>
      </c>
      <c r="O146" s="19">
        <v>148</v>
      </c>
      <c r="P146" s="19">
        <v>346</v>
      </c>
      <c r="Q146" s="19"/>
      <c r="R146" s="19"/>
      <c r="S146" s="19">
        <v>102</v>
      </c>
      <c r="T146" s="19"/>
      <c r="V146" s="19">
        <v>26</v>
      </c>
      <c r="W146" s="19">
        <v>0</v>
      </c>
      <c r="X146" s="19">
        <v>0</v>
      </c>
      <c r="Y146" s="19"/>
      <c r="Z146" s="19">
        <v>0</v>
      </c>
      <c r="AA146" s="19"/>
      <c r="AB146" s="19">
        <v>1</v>
      </c>
      <c r="AC146">
        <f t="shared" si="102"/>
        <v>27</v>
      </c>
    </row>
    <row r="147" spans="1:29" x14ac:dyDescent="0.25">
      <c r="B147" t="s">
        <v>21</v>
      </c>
      <c r="C147" s="22">
        <v>6224</v>
      </c>
      <c r="D147" s="22">
        <v>4277</v>
      </c>
      <c r="E147" s="22">
        <v>3562</v>
      </c>
      <c r="F147" s="22">
        <v>869</v>
      </c>
      <c r="G147" s="22"/>
      <c r="H147" s="22">
        <f>79+745+1173+518</f>
        <v>2515</v>
      </c>
      <c r="I147" s="20"/>
      <c r="K147" s="20"/>
      <c r="N147" s="19">
        <v>5297</v>
      </c>
      <c r="O147" s="19">
        <v>1537</v>
      </c>
      <c r="P147" s="19">
        <v>1317</v>
      </c>
      <c r="Q147" s="19"/>
      <c r="R147" s="19"/>
      <c r="S147" s="19">
        <v>751</v>
      </c>
      <c r="T147" s="19"/>
      <c r="V147" s="19">
        <v>136</v>
      </c>
      <c r="W147" s="19">
        <v>19</v>
      </c>
      <c r="X147" s="19">
        <v>11</v>
      </c>
      <c r="Y147" s="19"/>
      <c r="Z147" s="19">
        <v>1</v>
      </c>
      <c r="AA147" s="19"/>
      <c r="AB147" s="19">
        <v>34</v>
      </c>
      <c r="AC147">
        <f t="shared" si="102"/>
        <v>201</v>
      </c>
    </row>
    <row r="148" spans="1:29" x14ac:dyDescent="0.25">
      <c r="A148" s="10"/>
      <c r="B148" s="10" t="s">
        <v>24</v>
      </c>
      <c r="C148" s="20">
        <f>SUM(C143:C147)</f>
        <v>8839</v>
      </c>
      <c r="D148" s="20">
        <f>SUM(D143:D147)</f>
        <v>6806</v>
      </c>
      <c r="E148" s="20">
        <f>SUM(E143:E147)</f>
        <v>5577</v>
      </c>
      <c r="F148" s="20">
        <f>SUM(F143:F147)</f>
        <v>1594</v>
      </c>
      <c r="G148" s="20"/>
      <c r="H148" s="20">
        <f>SUM(H143:H147)</f>
        <v>4163</v>
      </c>
      <c r="I148" s="19"/>
      <c r="J148" s="21"/>
      <c r="K148" s="21">
        <f>E148/C148</f>
        <v>0.63095372779726211</v>
      </c>
      <c r="L148" s="21">
        <f>E148/D148</f>
        <v>0.81942403761387006</v>
      </c>
      <c r="M148" s="21"/>
      <c r="N148" s="20">
        <f>SUM(N143:N147)</f>
        <v>9131</v>
      </c>
      <c r="O148" s="20">
        <f>SUM(O143:O147)</f>
        <v>5013</v>
      </c>
      <c r="P148" s="20">
        <f>SUM(P143:P147)</f>
        <v>2780</v>
      </c>
      <c r="Q148" s="20"/>
      <c r="R148" s="20"/>
      <c r="S148" s="20">
        <f>SUM(S143:S147)</f>
        <v>1269</v>
      </c>
      <c r="T148" s="20"/>
      <c r="U148" s="21"/>
      <c r="V148" s="20">
        <f t="shared" ref="V148:AB148" si="103">SUM(V143:V147)</f>
        <v>199</v>
      </c>
      <c r="W148" s="20">
        <f t="shared" si="103"/>
        <v>77</v>
      </c>
      <c r="X148" s="20">
        <f t="shared" si="103"/>
        <v>14</v>
      </c>
      <c r="Y148" s="20"/>
      <c r="Z148" s="20">
        <f t="shared" si="103"/>
        <v>1</v>
      </c>
      <c r="AA148" s="20"/>
      <c r="AB148" s="20">
        <f t="shared" si="103"/>
        <v>60</v>
      </c>
      <c r="AC148" s="10">
        <f t="shared" si="102"/>
        <v>351</v>
      </c>
    </row>
    <row r="149" spans="1:29" x14ac:dyDescent="0.25">
      <c r="B149" t="s">
        <v>22</v>
      </c>
      <c r="C149" s="19"/>
      <c r="D149" s="19"/>
      <c r="E149" s="19"/>
      <c r="F149" s="19"/>
      <c r="G149" s="19"/>
      <c r="H149" s="19"/>
      <c r="I149" s="19"/>
      <c r="K149" s="19"/>
      <c r="N149" s="19">
        <v>142</v>
      </c>
      <c r="O149" s="19">
        <v>352</v>
      </c>
      <c r="P149" s="19">
        <v>166</v>
      </c>
      <c r="Q149" s="19"/>
      <c r="R149" s="19"/>
      <c r="S149" s="19">
        <v>202</v>
      </c>
      <c r="T149" s="19">
        <v>360</v>
      </c>
      <c r="V149" s="19">
        <v>0</v>
      </c>
      <c r="W149" s="19">
        <v>3</v>
      </c>
      <c r="X149" s="19">
        <v>0</v>
      </c>
      <c r="Y149" s="19"/>
      <c r="Z149" s="19">
        <v>3</v>
      </c>
      <c r="AA149" s="19">
        <v>0</v>
      </c>
      <c r="AB149" s="19">
        <v>26</v>
      </c>
      <c r="AC149">
        <f t="shared" si="102"/>
        <v>32</v>
      </c>
    </row>
    <row r="150" spans="1:29" x14ac:dyDescent="0.25">
      <c r="B150" t="s">
        <v>23</v>
      </c>
      <c r="C150" s="19"/>
      <c r="D150" s="19"/>
      <c r="E150" s="19"/>
      <c r="F150" s="19"/>
      <c r="G150" s="19"/>
      <c r="H150" s="19"/>
      <c r="I150" s="19"/>
      <c r="K150" s="19"/>
      <c r="N150" s="19">
        <v>172</v>
      </c>
      <c r="O150" s="19">
        <v>342</v>
      </c>
      <c r="P150" s="19">
        <v>158</v>
      </c>
      <c r="Q150" s="19"/>
      <c r="R150" s="19"/>
      <c r="S150" s="19">
        <v>384</v>
      </c>
      <c r="T150" s="19">
        <v>208</v>
      </c>
      <c r="V150" s="19">
        <v>2</v>
      </c>
      <c r="W150" s="19">
        <v>2</v>
      </c>
      <c r="X150" s="19">
        <v>0</v>
      </c>
      <c r="Y150" s="19"/>
      <c r="Z150" s="19">
        <v>5</v>
      </c>
      <c r="AA150" s="19">
        <v>0</v>
      </c>
      <c r="AB150" s="19">
        <v>13</v>
      </c>
      <c r="AC150">
        <f t="shared" si="102"/>
        <v>22</v>
      </c>
    </row>
    <row r="151" spans="1:29" x14ac:dyDescent="0.25">
      <c r="B151" t="s">
        <v>14</v>
      </c>
      <c r="C151" s="19">
        <f t="shared" ref="C151:I151" si="104">C148+C149+C150</f>
        <v>8839</v>
      </c>
      <c r="D151" s="19">
        <f t="shared" si="104"/>
        <v>6806</v>
      </c>
      <c r="E151" s="19">
        <f t="shared" si="104"/>
        <v>5577</v>
      </c>
      <c r="F151" s="19">
        <f t="shared" si="104"/>
        <v>1594</v>
      </c>
      <c r="G151" s="19"/>
      <c r="H151" s="19">
        <f t="shared" si="104"/>
        <v>4163</v>
      </c>
      <c r="I151" s="19">
        <f t="shared" si="104"/>
        <v>0</v>
      </c>
      <c r="K151" s="19"/>
      <c r="N151" s="69">
        <f>N148+N149+N150</f>
        <v>9445</v>
      </c>
      <c r="O151" s="69">
        <f>O148+O149+O150</f>
        <v>5707</v>
      </c>
      <c r="P151" s="69">
        <f>P148+P149+P150</f>
        <v>3104</v>
      </c>
      <c r="Q151" s="69"/>
      <c r="R151" s="69"/>
      <c r="S151" s="69">
        <f>S148+S149+S150</f>
        <v>1855</v>
      </c>
      <c r="T151" s="69">
        <f>T148+T149+T150</f>
        <v>568</v>
      </c>
      <c r="V151" s="17">
        <f t="shared" ref="V151:AB151" si="105">V148+V149+V150</f>
        <v>201</v>
      </c>
      <c r="W151" s="17">
        <f t="shared" si="105"/>
        <v>82</v>
      </c>
      <c r="X151" s="17">
        <f t="shared" si="105"/>
        <v>14</v>
      </c>
      <c r="Y151" s="17"/>
      <c r="Z151" s="17">
        <f t="shared" si="105"/>
        <v>9</v>
      </c>
      <c r="AA151" s="17">
        <f t="shared" si="105"/>
        <v>0</v>
      </c>
      <c r="AB151" s="17">
        <f t="shared" si="105"/>
        <v>99</v>
      </c>
      <c r="AC151">
        <f t="shared" si="102"/>
        <v>405</v>
      </c>
    </row>
    <row r="152" spans="1:29" x14ac:dyDescent="0.25">
      <c r="B152" t="s">
        <v>74</v>
      </c>
      <c r="N152" s="11">
        <f>N151/(SUM($N151:$T151))</f>
        <v>0.45674355626480972</v>
      </c>
      <c r="O152" s="11">
        <f>O151/(SUM($N151:$T151))</f>
        <v>0.27598046327191839</v>
      </c>
      <c r="P152" s="11">
        <f>P151/(SUM($N151:$T151))</f>
        <v>0.15010397021132549</v>
      </c>
      <c r="Q152" s="11"/>
      <c r="R152" s="11"/>
      <c r="S152" s="11">
        <f>S151/(SUM($N151:$T151))</f>
        <v>8.9704531166884274E-2</v>
      </c>
      <c r="T152" s="11">
        <f>T151/(SUM($N151:$T151))</f>
        <v>2.7467479085062141E-2</v>
      </c>
      <c r="V152" s="11">
        <f t="shared" ref="V152:AB152" si="106">V151/(SUM($V151:$AB151))</f>
        <v>0.49629629629629629</v>
      </c>
      <c r="W152" s="11">
        <f t="shared" si="106"/>
        <v>0.20246913580246914</v>
      </c>
      <c r="X152" s="11">
        <f t="shared" si="106"/>
        <v>3.4567901234567898E-2</v>
      </c>
      <c r="Y152" s="11">
        <f t="shared" si="106"/>
        <v>0</v>
      </c>
      <c r="Z152" s="11">
        <f t="shared" si="106"/>
        <v>2.2222222222222223E-2</v>
      </c>
      <c r="AA152" s="11">
        <f t="shared" si="106"/>
        <v>0</v>
      </c>
      <c r="AB152" s="11">
        <f t="shared" si="106"/>
        <v>0.24444444444444444</v>
      </c>
    </row>
    <row r="153" spans="1:29" x14ac:dyDescent="0.25">
      <c r="A153">
        <v>2010</v>
      </c>
      <c r="B153" t="s">
        <v>17</v>
      </c>
      <c r="C153" s="19">
        <v>1846</v>
      </c>
      <c r="D153" s="19">
        <v>1850</v>
      </c>
      <c r="E153" s="19">
        <v>1536</v>
      </c>
      <c r="F153" s="19">
        <v>845</v>
      </c>
      <c r="G153" s="19"/>
      <c r="H153" s="19">
        <f>140+89+173+314</f>
        <v>716</v>
      </c>
      <c r="I153" s="19"/>
      <c r="K153" s="19"/>
      <c r="N153" s="19">
        <v>716</v>
      </c>
      <c r="O153" s="19">
        <v>876</v>
      </c>
      <c r="P153" s="19">
        <v>246</v>
      </c>
      <c r="Q153" s="19"/>
      <c r="R153" s="19"/>
      <c r="S153" s="19">
        <v>23</v>
      </c>
      <c r="T153" s="19"/>
      <c r="V153" s="19">
        <v>11</v>
      </c>
      <c r="W153" s="19">
        <v>17</v>
      </c>
      <c r="X153" s="19">
        <v>2</v>
      </c>
      <c r="Y153" s="19"/>
      <c r="Z153" s="19">
        <v>0</v>
      </c>
      <c r="AA153" s="19"/>
      <c r="AB153" s="19">
        <v>2</v>
      </c>
      <c r="AC153">
        <f t="shared" ref="AC153:AC161" si="107">SUM(V153:AB153)</f>
        <v>32</v>
      </c>
    </row>
    <row r="154" spans="1:29" x14ac:dyDescent="0.25">
      <c r="B154" t="s">
        <v>18</v>
      </c>
      <c r="C154" s="19">
        <v>808</v>
      </c>
      <c r="D154" s="19">
        <v>822</v>
      </c>
      <c r="E154" s="19">
        <v>700</v>
      </c>
      <c r="F154" s="19">
        <v>345</v>
      </c>
      <c r="G154" s="19"/>
      <c r="H154" s="19">
        <f>414+171+157+213</f>
        <v>955</v>
      </c>
      <c r="I154" s="19"/>
      <c r="K154" s="19"/>
      <c r="N154" s="19">
        <v>579</v>
      </c>
      <c r="O154" s="19">
        <v>1221</v>
      </c>
      <c r="P154" s="19">
        <v>521</v>
      </c>
      <c r="Q154" s="19"/>
      <c r="R154" s="19"/>
      <c r="S154" s="19">
        <v>124</v>
      </c>
      <c r="T154" s="19"/>
      <c r="V154" s="19">
        <v>3</v>
      </c>
      <c r="W154" s="19">
        <v>16</v>
      </c>
      <c r="X154" s="19">
        <v>2</v>
      </c>
      <c r="Y154" s="19"/>
      <c r="Z154" s="19">
        <v>0</v>
      </c>
      <c r="AA154" s="19"/>
      <c r="AB154" s="19">
        <v>15</v>
      </c>
      <c r="AC154">
        <f t="shared" si="107"/>
        <v>36</v>
      </c>
    </row>
    <row r="155" spans="1:29" x14ac:dyDescent="0.25">
      <c r="B155" t="s">
        <v>19</v>
      </c>
      <c r="C155" s="19">
        <v>348</v>
      </c>
      <c r="D155" s="19">
        <v>351</v>
      </c>
      <c r="E155" s="19">
        <v>303</v>
      </c>
      <c r="F155" s="19">
        <v>115</v>
      </c>
      <c r="G155" s="19"/>
      <c r="H155" s="19">
        <f>74+119+86+59</f>
        <v>338</v>
      </c>
      <c r="I155" s="19"/>
      <c r="K155" s="19"/>
      <c r="N155" s="19">
        <v>1389</v>
      </c>
      <c r="O155" s="19">
        <v>792</v>
      </c>
      <c r="P155" s="19">
        <v>676</v>
      </c>
      <c r="Q155" s="19"/>
      <c r="R155" s="19"/>
      <c r="S155" s="19">
        <v>285</v>
      </c>
      <c r="T155" s="19"/>
      <c r="V155" s="19">
        <v>24</v>
      </c>
      <c r="W155" s="19">
        <v>10</v>
      </c>
      <c r="X155" s="19">
        <v>3</v>
      </c>
      <c r="Y155" s="19"/>
      <c r="Z155" s="19">
        <v>0</v>
      </c>
      <c r="AA155" s="19"/>
      <c r="AB155" s="19">
        <v>18</v>
      </c>
      <c r="AC155">
        <f t="shared" si="107"/>
        <v>55</v>
      </c>
    </row>
    <row r="156" spans="1:29" x14ac:dyDescent="0.25">
      <c r="B156" t="s">
        <v>20</v>
      </c>
      <c r="C156" s="19"/>
      <c r="D156" s="19"/>
      <c r="E156" s="19"/>
      <c r="F156" s="19"/>
      <c r="G156" s="19"/>
      <c r="H156" s="19"/>
      <c r="I156" s="19"/>
      <c r="K156" s="19"/>
      <c r="N156" s="19">
        <v>1262</v>
      </c>
      <c r="O156" s="19">
        <v>148</v>
      </c>
      <c r="P156" s="19">
        <v>346</v>
      </c>
      <c r="Q156" s="19"/>
      <c r="R156" s="19"/>
      <c r="S156" s="19">
        <v>102</v>
      </c>
      <c r="T156" s="19"/>
      <c r="V156" s="19">
        <v>26</v>
      </c>
      <c r="W156" s="19">
        <v>0</v>
      </c>
      <c r="X156" s="19">
        <v>0</v>
      </c>
      <c r="Y156" s="19"/>
      <c r="Z156" s="19">
        <v>0</v>
      </c>
      <c r="AA156" s="19"/>
      <c r="AB156" s="19">
        <v>1</v>
      </c>
      <c r="AC156">
        <f t="shared" si="107"/>
        <v>27</v>
      </c>
    </row>
    <row r="157" spans="1:29" x14ac:dyDescent="0.25">
      <c r="B157" t="s">
        <v>21</v>
      </c>
      <c r="C157" s="22">
        <v>1174</v>
      </c>
      <c r="D157" s="22">
        <v>970</v>
      </c>
      <c r="E157" s="22">
        <v>926</v>
      </c>
      <c r="F157" s="22">
        <v>315</v>
      </c>
      <c r="G157" s="22"/>
      <c r="H157" s="22">
        <f>120+230+100+101</f>
        <v>551</v>
      </c>
      <c r="I157" s="20"/>
      <c r="K157" s="20"/>
      <c r="N157" s="19">
        <v>5143</v>
      </c>
      <c r="O157" s="19">
        <v>1098</v>
      </c>
      <c r="P157" s="19">
        <v>1832</v>
      </c>
      <c r="Q157" s="19"/>
      <c r="R157" s="19"/>
      <c r="S157" s="19">
        <v>846</v>
      </c>
      <c r="T157" s="19"/>
      <c r="V157" s="19">
        <v>135</v>
      </c>
      <c r="W157" s="19">
        <v>8</v>
      </c>
      <c r="X157" s="19">
        <v>18</v>
      </c>
      <c r="Y157" s="19"/>
      <c r="Z157" s="19">
        <v>4</v>
      </c>
      <c r="AA157" s="19"/>
      <c r="AB157" s="19">
        <v>36</v>
      </c>
      <c r="AC157">
        <f t="shared" si="107"/>
        <v>201</v>
      </c>
    </row>
    <row r="158" spans="1:29" x14ac:dyDescent="0.25">
      <c r="A158" s="10"/>
      <c r="B158" s="10" t="s">
        <v>24</v>
      </c>
      <c r="C158" s="20">
        <f>SUM(C153:C157)</f>
        <v>4176</v>
      </c>
      <c r="D158" s="20">
        <f>SUM(D153:D157)</f>
        <v>3993</v>
      </c>
      <c r="E158" s="20">
        <f>SUM(E153:E157)</f>
        <v>3465</v>
      </c>
      <c r="F158" s="20">
        <f>SUM(F153:F157)</f>
        <v>1620</v>
      </c>
      <c r="G158" s="20"/>
      <c r="H158" s="20">
        <f>SUM(H153:H157)</f>
        <v>2560</v>
      </c>
      <c r="I158" s="19"/>
      <c r="J158" s="21"/>
      <c r="K158" s="21">
        <f>E158/C158</f>
        <v>0.82974137931034486</v>
      </c>
      <c r="L158" s="21">
        <f>E158/D158</f>
        <v>0.86776859504132231</v>
      </c>
      <c r="M158" s="21"/>
      <c r="N158" s="20">
        <f>SUM(N153:N157)</f>
        <v>9089</v>
      </c>
      <c r="O158" s="20">
        <f>SUM(O153:O157)</f>
        <v>4135</v>
      </c>
      <c r="P158" s="20">
        <f>SUM(P153:P157)</f>
        <v>3621</v>
      </c>
      <c r="Q158" s="20"/>
      <c r="R158" s="20"/>
      <c r="S158" s="20">
        <f>SUM(S153:S157)</f>
        <v>1380</v>
      </c>
      <c r="T158" s="20"/>
      <c r="U158" s="21"/>
      <c r="V158" s="20">
        <f t="shared" ref="V158:AB158" si="108">SUM(V153:V157)</f>
        <v>199</v>
      </c>
      <c r="W158" s="20">
        <f t="shared" si="108"/>
        <v>51</v>
      </c>
      <c r="X158" s="20">
        <f t="shared" si="108"/>
        <v>25</v>
      </c>
      <c r="Y158" s="20"/>
      <c r="Z158" s="20">
        <f t="shared" si="108"/>
        <v>4</v>
      </c>
      <c r="AA158" s="20"/>
      <c r="AB158" s="20">
        <f t="shared" si="108"/>
        <v>72</v>
      </c>
      <c r="AC158" s="10">
        <f t="shared" si="107"/>
        <v>351</v>
      </c>
    </row>
    <row r="159" spans="1:29" x14ac:dyDescent="0.25">
      <c r="B159" t="s">
        <v>22</v>
      </c>
      <c r="C159" s="19"/>
      <c r="D159" s="19"/>
      <c r="E159" s="19"/>
      <c r="F159" s="19"/>
      <c r="G159" s="19"/>
      <c r="H159" s="19"/>
      <c r="I159" s="19"/>
      <c r="K159" s="19"/>
      <c r="N159" s="19">
        <v>143</v>
      </c>
      <c r="O159" s="19">
        <v>350</v>
      </c>
      <c r="P159" s="19">
        <v>166</v>
      </c>
      <c r="Q159" s="19"/>
      <c r="R159" s="19"/>
      <c r="S159" s="19">
        <v>202</v>
      </c>
      <c r="T159" s="19">
        <v>361</v>
      </c>
      <c r="V159" s="19">
        <v>0</v>
      </c>
      <c r="W159" s="19">
        <v>2</v>
      </c>
      <c r="X159" s="19">
        <v>0</v>
      </c>
      <c r="Y159" s="19"/>
      <c r="Z159" s="19">
        <v>3</v>
      </c>
      <c r="AA159" s="19">
        <v>0</v>
      </c>
      <c r="AB159" s="19">
        <v>27</v>
      </c>
      <c r="AC159">
        <f t="shared" si="107"/>
        <v>32</v>
      </c>
    </row>
    <row r="160" spans="1:29" x14ac:dyDescent="0.25">
      <c r="B160" t="s">
        <v>23</v>
      </c>
      <c r="C160" s="19"/>
      <c r="D160" s="19"/>
      <c r="E160" s="19"/>
      <c r="F160" s="19"/>
      <c r="G160" s="19"/>
      <c r="H160" s="19"/>
      <c r="I160" s="19"/>
      <c r="K160" s="19"/>
      <c r="N160" s="19">
        <v>174</v>
      </c>
      <c r="O160" s="19">
        <v>346</v>
      </c>
      <c r="P160" s="19">
        <v>157</v>
      </c>
      <c r="Q160" s="19"/>
      <c r="R160" s="19"/>
      <c r="S160" s="19">
        <v>380</v>
      </c>
      <c r="T160" s="19">
        <v>207</v>
      </c>
      <c r="V160" s="19">
        <v>2</v>
      </c>
      <c r="W160" s="19">
        <v>2</v>
      </c>
      <c r="X160" s="19">
        <v>0</v>
      </c>
      <c r="Y160" s="19"/>
      <c r="Z160" s="19">
        <v>5</v>
      </c>
      <c r="AA160" s="19">
        <v>0</v>
      </c>
      <c r="AB160" s="19">
        <v>13</v>
      </c>
      <c r="AC160">
        <f t="shared" si="107"/>
        <v>22</v>
      </c>
    </row>
    <row r="161" spans="1:29" x14ac:dyDescent="0.25">
      <c r="B161" t="s">
        <v>14</v>
      </c>
      <c r="C161" s="19">
        <f t="shared" ref="C161:I161" si="109">C158+C159+C160</f>
        <v>4176</v>
      </c>
      <c r="D161" s="19">
        <f t="shared" si="109"/>
        <v>3993</v>
      </c>
      <c r="E161" s="19">
        <f t="shared" si="109"/>
        <v>3465</v>
      </c>
      <c r="F161" s="19">
        <f t="shared" si="109"/>
        <v>1620</v>
      </c>
      <c r="G161" s="19"/>
      <c r="H161" s="19">
        <f t="shared" si="109"/>
        <v>2560</v>
      </c>
      <c r="I161" s="19">
        <f t="shared" si="109"/>
        <v>0</v>
      </c>
      <c r="K161" s="19"/>
      <c r="N161" s="69">
        <f>N158+N159+N160</f>
        <v>9406</v>
      </c>
      <c r="O161" s="69">
        <f>O158+O159+O160</f>
        <v>4831</v>
      </c>
      <c r="P161" s="69">
        <f>P158+P159+P160</f>
        <v>3944</v>
      </c>
      <c r="Q161" s="69"/>
      <c r="R161" s="69"/>
      <c r="S161" s="69">
        <f>S158+S159+S160</f>
        <v>1962</v>
      </c>
      <c r="T161" s="69">
        <f>T158+T159+T160</f>
        <v>568</v>
      </c>
      <c r="V161" s="17">
        <f t="shared" ref="V161:AB161" si="110">V158+V159+V160</f>
        <v>201</v>
      </c>
      <c r="W161" s="17">
        <f t="shared" si="110"/>
        <v>55</v>
      </c>
      <c r="X161" s="17">
        <f t="shared" si="110"/>
        <v>25</v>
      </c>
      <c r="Y161" s="17"/>
      <c r="Z161" s="17">
        <f t="shared" si="110"/>
        <v>12</v>
      </c>
      <c r="AA161" s="17">
        <f t="shared" si="110"/>
        <v>0</v>
      </c>
      <c r="AB161" s="17">
        <f t="shared" si="110"/>
        <v>112</v>
      </c>
      <c r="AC161">
        <f t="shared" si="107"/>
        <v>405</v>
      </c>
    </row>
    <row r="162" spans="1:29" x14ac:dyDescent="0.25">
      <c r="B162" t="s">
        <v>74</v>
      </c>
      <c r="N162" s="11">
        <f>N161/(SUM($N161:$T161))</f>
        <v>0.45415479696779487</v>
      </c>
      <c r="O162" s="11">
        <f>O161/(SUM($N161:$T161))</f>
        <v>0.23325768915069287</v>
      </c>
      <c r="P162" s="11">
        <f>P161/(SUM($N161:$T161))</f>
        <v>0.19043020617063397</v>
      </c>
      <c r="Q162" s="11"/>
      <c r="R162" s="11"/>
      <c r="S162" s="11">
        <f>S161/(SUM($N161:$T161))</f>
        <v>9.4732267876973586E-2</v>
      </c>
      <c r="T162" s="11">
        <f>T161/(SUM($N161:$T161))</f>
        <v>2.7425039833904687E-2</v>
      </c>
      <c r="V162" s="11">
        <f t="shared" ref="V162:AB162" si="111">V161/(SUM($V161:$AB161))</f>
        <v>0.49629629629629629</v>
      </c>
      <c r="W162" s="11">
        <f t="shared" si="111"/>
        <v>0.13580246913580246</v>
      </c>
      <c r="X162" s="11">
        <f t="shared" si="111"/>
        <v>6.1728395061728392E-2</v>
      </c>
      <c r="Y162" s="11">
        <f t="shared" si="111"/>
        <v>0</v>
      </c>
      <c r="Z162" s="11">
        <f t="shared" si="111"/>
        <v>2.9629629629629631E-2</v>
      </c>
      <c r="AA162" s="11">
        <f t="shared" si="111"/>
        <v>0</v>
      </c>
      <c r="AB162" s="11">
        <f t="shared" si="111"/>
        <v>0.27654320987654318</v>
      </c>
    </row>
    <row r="163" spans="1:29" x14ac:dyDescent="0.25">
      <c r="A163">
        <v>2009</v>
      </c>
      <c r="B163" t="s">
        <v>17</v>
      </c>
      <c r="C163" s="19"/>
      <c r="D163" s="19"/>
      <c r="E163" s="19"/>
      <c r="F163" s="19"/>
      <c r="G163" s="19"/>
      <c r="H163" s="19"/>
      <c r="I163" s="19"/>
      <c r="K163" s="19"/>
      <c r="N163" s="19">
        <v>783</v>
      </c>
      <c r="O163" s="19">
        <v>681</v>
      </c>
      <c r="P163" s="19">
        <v>323</v>
      </c>
      <c r="Q163" s="19"/>
      <c r="R163" s="19"/>
      <c r="S163" s="19">
        <v>74</v>
      </c>
      <c r="T163" s="19"/>
      <c r="V163" s="19">
        <v>14</v>
      </c>
      <c r="W163" s="19">
        <v>7</v>
      </c>
      <c r="X163" s="19">
        <v>3</v>
      </c>
      <c r="Y163" s="19"/>
      <c r="Z163" s="19">
        <v>0</v>
      </c>
      <c r="AA163" s="19"/>
      <c r="AB163" s="19">
        <v>8</v>
      </c>
      <c r="AC163">
        <f t="shared" ref="AC163:AC171" si="112">SUM(V163:AB163)</f>
        <v>32</v>
      </c>
    </row>
    <row r="164" spans="1:29" x14ac:dyDescent="0.25">
      <c r="B164" t="s">
        <v>18</v>
      </c>
      <c r="C164" s="19"/>
      <c r="D164" s="19"/>
      <c r="E164" s="19"/>
      <c r="F164" s="19"/>
      <c r="G164" s="19"/>
      <c r="H164" s="19"/>
      <c r="I164" s="19"/>
      <c r="K164" s="19"/>
      <c r="N164" s="19">
        <v>623</v>
      </c>
      <c r="O164" s="19">
        <v>1091</v>
      </c>
      <c r="P164" s="19">
        <v>587</v>
      </c>
      <c r="Q164" s="19"/>
      <c r="R164" s="19"/>
      <c r="S164" s="19">
        <v>144</v>
      </c>
      <c r="T164" s="19"/>
      <c r="V164" s="19">
        <v>6</v>
      </c>
      <c r="W164" s="19">
        <v>12</v>
      </c>
      <c r="X164" s="19">
        <v>5</v>
      </c>
      <c r="Y164" s="19"/>
      <c r="Z164" s="19">
        <v>0</v>
      </c>
      <c r="AA164" s="19"/>
      <c r="AB164" s="19">
        <v>13</v>
      </c>
      <c r="AC164">
        <f t="shared" si="112"/>
        <v>36</v>
      </c>
    </row>
    <row r="165" spans="1:29" x14ac:dyDescent="0.25">
      <c r="B165" t="s">
        <v>19</v>
      </c>
      <c r="C165" s="19">
        <v>460</v>
      </c>
      <c r="D165" s="19">
        <v>284</v>
      </c>
      <c r="E165" s="19">
        <v>416</v>
      </c>
      <c r="F165" s="19">
        <v>73</v>
      </c>
      <c r="G165" s="19"/>
      <c r="H165" s="19">
        <f>39+83+181+60</f>
        <v>363</v>
      </c>
      <c r="I165" s="19"/>
      <c r="K165" s="19"/>
      <c r="N165" s="19">
        <v>1405</v>
      </c>
      <c r="O165" s="19">
        <v>763</v>
      </c>
      <c r="P165" s="19">
        <v>682</v>
      </c>
      <c r="Q165" s="19"/>
      <c r="R165" s="19"/>
      <c r="S165" s="19">
        <v>292</v>
      </c>
      <c r="T165" s="19"/>
      <c r="V165" s="19">
        <v>24</v>
      </c>
      <c r="W165" s="19">
        <v>9</v>
      </c>
      <c r="X165" s="19">
        <v>3</v>
      </c>
      <c r="Y165" s="19"/>
      <c r="Z165" s="19">
        <v>0</v>
      </c>
      <c r="AA165" s="19"/>
      <c r="AB165" s="19">
        <v>19</v>
      </c>
      <c r="AC165">
        <f t="shared" si="112"/>
        <v>55</v>
      </c>
    </row>
    <row r="166" spans="1:29" x14ac:dyDescent="0.25">
      <c r="B166" t="s">
        <v>20</v>
      </c>
      <c r="C166" s="19">
        <v>1854</v>
      </c>
      <c r="D166" s="19">
        <v>1708</v>
      </c>
      <c r="E166" s="19">
        <v>1660</v>
      </c>
      <c r="F166" s="19">
        <v>706</v>
      </c>
      <c r="G166" s="19"/>
      <c r="H166" s="19">
        <f>411+490+272+185</f>
        <v>1358</v>
      </c>
      <c r="I166" s="19"/>
      <c r="K166" s="19"/>
      <c r="N166" s="19">
        <v>1260</v>
      </c>
      <c r="O166" s="19">
        <v>146</v>
      </c>
      <c r="P166" s="19">
        <v>346</v>
      </c>
      <c r="Q166" s="19"/>
      <c r="R166" s="19"/>
      <c r="S166" s="19">
        <v>102</v>
      </c>
      <c r="T166" s="19"/>
      <c r="V166" s="19">
        <v>26</v>
      </c>
      <c r="W166" s="19">
        <v>0</v>
      </c>
      <c r="X166" s="19">
        <v>0</v>
      </c>
      <c r="Y166" s="19"/>
      <c r="Z166" s="19">
        <v>0</v>
      </c>
      <c r="AA166" s="19"/>
      <c r="AB166" s="19">
        <v>1</v>
      </c>
      <c r="AC166">
        <f t="shared" si="112"/>
        <v>27</v>
      </c>
    </row>
    <row r="167" spans="1:29" x14ac:dyDescent="0.25">
      <c r="B167" t="s">
        <v>21</v>
      </c>
      <c r="C167" s="20"/>
      <c r="D167" s="20"/>
      <c r="E167" s="20"/>
      <c r="F167" s="20"/>
      <c r="G167" s="20"/>
      <c r="H167" s="20"/>
      <c r="I167" s="20"/>
      <c r="K167" s="20"/>
      <c r="N167" s="19">
        <v>5165</v>
      </c>
      <c r="O167" s="19">
        <v>1062</v>
      </c>
      <c r="P167" s="19">
        <v>1821</v>
      </c>
      <c r="Q167" s="19"/>
      <c r="R167" s="19"/>
      <c r="S167" s="19">
        <v>866</v>
      </c>
      <c r="T167" s="19"/>
      <c r="V167" s="19">
        <v>137</v>
      </c>
      <c r="W167" s="19">
        <v>5</v>
      </c>
      <c r="X167" s="19">
        <v>15</v>
      </c>
      <c r="Y167" s="19"/>
      <c r="Z167" s="19">
        <v>4</v>
      </c>
      <c r="AA167" s="19"/>
      <c r="AB167" s="19">
        <v>40</v>
      </c>
      <c r="AC167">
        <f t="shared" si="112"/>
        <v>201</v>
      </c>
    </row>
    <row r="168" spans="1:29" x14ac:dyDescent="0.25">
      <c r="A168" s="10"/>
      <c r="B168" s="10" t="s">
        <v>24</v>
      </c>
      <c r="C168" s="20">
        <f>SUM(C163:C167)</f>
        <v>2314</v>
      </c>
      <c r="D168" s="20">
        <f>SUM(D163:D167)</f>
        <v>1992</v>
      </c>
      <c r="E168" s="20">
        <f>SUM(E163:E167)</f>
        <v>2076</v>
      </c>
      <c r="F168" s="20">
        <f>SUM(F163:F167)</f>
        <v>779</v>
      </c>
      <c r="G168" s="20"/>
      <c r="H168" s="20">
        <f>SUM(H163:H167)</f>
        <v>1721</v>
      </c>
      <c r="I168" s="19"/>
      <c r="J168" s="21"/>
      <c r="K168" s="21">
        <f>E168/C168</f>
        <v>0.89714779602420047</v>
      </c>
      <c r="L168" s="21">
        <f>E168/D168</f>
        <v>1.0421686746987953</v>
      </c>
      <c r="M168" s="21"/>
      <c r="N168" s="20">
        <f>SUM(N163:N167)</f>
        <v>9236</v>
      </c>
      <c r="O168" s="20">
        <f>SUM(O163:O167)</f>
        <v>3743</v>
      </c>
      <c r="P168" s="20">
        <f>SUM(P163:P167)</f>
        <v>3759</v>
      </c>
      <c r="Q168" s="20"/>
      <c r="R168" s="20"/>
      <c r="S168" s="20">
        <f>SUM(S163:S167)</f>
        <v>1478</v>
      </c>
      <c r="T168" s="20"/>
      <c r="U168" s="21"/>
      <c r="V168" s="20">
        <f t="shared" ref="V168:AB168" si="113">SUM(V163:V167)</f>
        <v>207</v>
      </c>
      <c r="W168" s="20">
        <f t="shared" si="113"/>
        <v>33</v>
      </c>
      <c r="X168" s="20">
        <f t="shared" si="113"/>
        <v>26</v>
      </c>
      <c r="Y168" s="20"/>
      <c r="Z168" s="20">
        <f t="shared" si="113"/>
        <v>4</v>
      </c>
      <c r="AA168" s="20"/>
      <c r="AB168" s="20">
        <f t="shared" si="113"/>
        <v>81</v>
      </c>
      <c r="AC168" s="10">
        <f t="shared" si="112"/>
        <v>351</v>
      </c>
    </row>
    <row r="169" spans="1:29" x14ac:dyDescent="0.25">
      <c r="B169" t="s">
        <v>22</v>
      </c>
      <c r="C169" s="19"/>
      <c r="D169" s="19"/>
      <c r="E169" s="19"/>
      <c r="F169" s="19"/>
      <c r="G169" s="19"/>
      <c r="H169" s="19"/>
      <c r="I169" s="19"/>
      <c r="K169" s="19"/>
      <c r="N169">
        <v>143</v>
      </c>
      <c r="O169" s="19">
        <v>348</v>
      </c>
      <c r="P169" s="19">
        <v>166</v>
      </c>
      <c r="Q169" s="19"/>
      <c r="R169" s="19"/>
      <c r="S169" s="19">
        <v>202</v>
      </c>
      <c r="T169" s="19">
        <v>363</v>
      </c>
      <c r="V169" s="19">
        <v>0</v>
      </c>
      <c r="W169" s="19">
        <v>2</v>
      </c>
      <c r="X169" s="19">
        <v>0</v>
      </c>
      <c r="Y169" s="19"/>
      <c r="Z169" s="19">
        <v>3</v>
      </c>
      <c r="AA169" s="19">
        <v>0</v>
      </c>
      <c r="AB169" s="19">
        <v>27</v>
      </c>
      <c r="AC169">
        <f t="shared" si="112"/>
        <v>32</v>
      </c>
    </row>
    <row r="170" spans="1:29" x14ac:dyDescent="0.25">
      <c r="B170" t="s">
        <v>23</v>
      </c>
      <c r="C170" s="19"/>
      <c r="D170" s="19"/>
      <c r="E170" s="19"/>
      <c r="F170" s="19"/>
      <c r="G170" s="19"/>
      <c r="H170" s="19"/>
      <c r="I170" s="19"/>
      <c r="K170" s="19"/>
      <c r="N170">
        <v>174</v>
      </c>
      <c r="O170" s="19">
        <v>345</v>
      </c>
      <c r="P170" s="19">
        <v>158</v>
      </c>
      <c r="Q170" s="19"/>
      <c r="R170" s="19"/>
      <c r="S170" s="19">
        <v>380</v>
      </c>
      <c r="T170" s="19">
        <v>207</v>
      </c>
      <c r="V170" s="19">
        <v>2</v>
      </c>
      <c r="W170" s="19">
        <v>2</v>
      </c>
      <c r="X170" s="19">
        <v>0</v>
      </c>
      <c r="Y170" s="19"/>
      <c r="Z170" s="19">
        <v>5</v>
      </c>
      <c r="AA170" s="19">
        <v>0</v>
      </c>
      <c r="AB170" s="19">
        <v>13</v>
      </c>
      <c r="AC170">
        <f t="shared" si="112"/>
        <v>22</v>
      </c>
    </row>
    <row r="171" spans="1:29" x14ac:dyDescent="0.25">
      <c r="B171" t="s">
        <v>14</v>
      </c>
      <c r="C171" s="19">
        <f t="shared" ref="C171:I171" si="114">C168+C169+C170</f>
        <v>2314</v>
      </c>
      <c r="D171" s="19">
        <f t="shared" si="114"/>
        <v>1992</v>
      </c>
      <c r="E171" s="19">
        <f t="shared" si="114"/>
        <v>2076</v>
      </c>
      <c r="F171" s="19">
        <f t="shared" si="114"/>
        <v>779</v>
      </c>
      <c r="G171" s="19"/>
      <c r="H171" s="19">
        <f t="shared" si="114"/>
        <v>1721</v>
      </c>
      <c r="I171" s="19">
        <f t="shared" si="114"/>
        <v>0</v>
      </c>
      <c r="K171" s="19"/>
      <c r="N171" s="69">
        <f>N168+N169+N170</f>
        <v>9553</v>
      </c>
      <c r="O171" s="69">
        <f>O168+O169+O170</f>
        <v>4436</v>
      </c>
      <c r="P171" s="69">
        <f>P168+P169+P170</f>
        <v>4083</v>
      </c>
      <c r="Q171" s="69"/>
      <c r="R171" s="69"/>
      <c r="S171" s="69">
        <f>S168+S169+S170</f>
        <v>2060</v>
      </c>
      <c r="T171" s="69">
        <f>T168+T169+T170</f>
        <v>570</v>
      </c>
      <c r="V171" s="17">
        <f t="shared" ref="V171:AB171" si="115">V168+V169+V170</f>
        <v>209</v>
      </c>
      <c r="W171" s="17">
        <f t="shared" si="115"/>
        <v>37</v>
      </c>
      <c r="X171" s="17">
        <f t="shared" si="115"/>
        <v>26</v>
      </c>
      <c r="Y171" s="17"/>
      <c r="Z171" s="17">
        <f t="shared" si="115"/>
        <v>12</v>
      </c>
      <c r="AA171" s="17">
        <f t="shared" si="115"/>
        <v>0</v>
      </c>
      <c r="AB171" s="17">
        <f t="shared" si="115"/>
        <v>121</v>
      </c>
      <c r="AC171">
        <f t="shared" si="112"/>
        <v>405</v>
      </c>
    </row>
    <row r="172" spans="1:29" x14ac:dyDescent="0.25">
      <c r="B172" t="s">
        <v>74</v>
      </c>
      <c r="N172" s="11">
        <f>N171/(SUM($N171:$T171))</f>
        <v>0.46145299971017295</v>
      </c>
      <c r="O172" s="11">
        <f>O171/(SUM($N171:$T171))</f>
        <v>0.21427881364119408</v>
      </c>
      <c r="P172" s="11">
        <f>P171/(SUM($N171:$T171))</f>
        <v>0.19722732103178436</v>
      </c>
      <c r="Q172" s="11"/>
      <c r="R172" s="11"/>
      <c r="S172" s="11">
        <f>S171/(SUM($N171:$T171))</f>
        <v>9.9507293981257849E-2</v>
      </c>
      <c r="T172" s="11">
        <f>T171/(SUM($N171:$T171))</f>
        <v>2.7533571635590764E-2</v>
      </c>
      <c r="V172" s="11">
        <f t="shared" ref="V172:AB172" si="116">V171/(SUM($V171:$AB171))</f>
        <v>0.51604938271604939</v>
      </c>
      <c r="W172" s="11">
        <f t="shared" si="116"/>
        <v>9.1358024691358022E-2</v>
      </c>
      <c r="X172" s="11">
        <f t="shared" si="116"/>
        <v>6.4197530864197536E-2</v>
      </c>
      <c r="Y172" s="11">
        <f t="shared" si="116"/>
        <v>0</v>
      </c>
      <c r="Z172" s="11">
        <f t="shared" si="116"/>
        <v>2.9629629629629631E-2</v>
      </c>
      <c r="AA172" s="11">
        <f t="shared" si="116"/>
        <v>0</v>
      </c>
      <c r="AB172" s="11">
        <f t="shared" si="116"/>
        <v>0.29876543209876544</v>
      </c>
    </row>
    <row r="173" spans="1:29" x14ac:dyDescent="0.25">
      <c r="A173">
        <v>2008</v>
      </c>
      <c r="B173" t="s">
        <v>17</v>
      </c>
      <c r="N173" s="19">
        <v>784</v>
      </c>
      <c r="O173" s="19">
        <v>683</v>
      </c>
      <c r="P173" s="19">
        <v>322</v>
      </c>
      <c r="Q173" s="19"/>
      <c r="R173" s="19"/>
      <c r="S173" s="19">
        <v>72</v>
      </c>
      <c r="T173" s="19"/>
      <c r="V173" s="19">
        <v>14</v>
      </c>
      <c r="W173" s="19">
        <v>7</v>
      </c>
      <c r="X173" s="19">
        <v>3</v>
      </c>
      <c r="Y173" s="19"/>
      <c r="Z173" s="19">
        <v>0</v>
      </c>
      <c r="AA173" s="19"/>
      <c r="AB173" s="19">
        <v>8</v>
      </c>
      <c r="AC173">
        <f t="shared" ref="AC173:AC181" si="117">SUM(V173:AB173)</f>
        <v>32</v>
      </c>
    </row>
    <row r="174" spans="1:29" x14ac:dyDescent="0.25">
      <c r="B174" t="s">
        <v>18</v>
      </c>
      <c r="C174" s="19">
        <v>811</v>
      </c>
      <c r="D174" s="19">
        <v>826</v>
      </c>
      <c r="E174" s="19">
        <v>692</v>
      </c>
      <c r="F174" s="19">
        <v>339</v>
      </c>
      <c r="G174" s="19"/>
      <c r="H174" s="19">
        <f>350+141+127+171</f>
        <v>789</v>
      </c>
      <c r="I174" s="19"/>
      <c r="K174" s="19"/>
      <c r="N174" s="19">
        <v>621</v>
      </c>
      <c r="O174" s="19">
        <v>1093</v>
      </c>
      <c r="P174" s="19">
        <v>585</v>
      </c>
      <c r="Q174" s="19"/>
      <c r="R174" s="19"/>
      <c r="S174" s="19">
        <v>146</v>
      </c>
      <c r="T174" s="19"/>
      <c r="V174" s="19">
        <v>6</v>
      </c>
      <c r="W174" s="19">
        <v>12</v>
      </c>
      <c r="X174" s="19">
        <v>4</v>
      </c>
      <c r="Y174" s="19"/>
      <c r="Z174" s="19">
        <v>0</v>
      </c>
      <c r="AA174" s="19"/>
      <c r="AB174" s="19">
        <v>14</v>
      </c>
      <c r="AC174">
        <f t="shared" si="117"/>
        <v>36</v>
      </c>
    </row>
    <row r="175" spans="1:29" x14ac:dyDescent="0.25">
      <c r="B175" t="s">
        <v>19</v>
      </c>
      <c r="C175" s="19">
        <v>601</v>
      </c>
      <c r="D175" s="19">
        <v>649</v>
      </c>
      <c r="E175" s="19">
        <v>544</v>
      </c>
      <c r="F175" s="19">
        <v>88</v>
      </c>
      <c r="G175" s="19"/>
      <c r="H175" s="19">
        <f>91+88+190+75</f>
        <v>444</v>
      </c>
      <c r="I175" s="19"/>
      <c r="K175" s="19"/>
      <c r="N175" s="19">
        <v>1049</v>
      </c>
      <c r="O175" s="19">
        <v>656</v>
      </c>
      <c r="P175" s="19">
        <v>504</v>
      </c>
      <c r="Q175" s="19"/>
      <c r="R175" s="19"/>
      <c r="S175" s="19">
        <v>198</v>
      </c>
      <c r="T175" s="19"/>
      <c r="V175" s="19">
        <v>19</v>
      </c>
      <c r="W175" s="19">
        <v>8</v>
      </c>
      <c r="X175" s="19">
        <v>1</v>
      </c>
      <c r="Y175" s="19"/>
      <c r="Z175" s="19">
        <v>0</v>
      </c>
      <c r="AA175" s="19"/>
      <c r="AB175" s="19">
        <v>18</v>
      </c>
      <c r="AC175">
        <f t="shared" si="117"/>
        <v>46</v>
      </c>
    </row>
    <row r="176" spans="1:29" x14ac:dyDescent="0.25">
      <c r="B176" t="s">
        <v>20</v>
      </c>
      <c r="C176" s="19"/>
      <c r="D176" s="19"/>
      <c r="E176" s="19"/>
      <c r="F176" s="19"/>
      <c r="G176" s="19"/>
      <c r="H176" s="19"/>
      <c r="I176" s="19"/>
      <c r="K176" s="19"/>
      <c r="N176" s="19">
        <v>1164</v>
      </c>
      <c r="O176" s="19">
        <v>567</v>
      </c>
      <c r="P176" s="19">
        <v>505</v>
      </c>
      <c r="Q176" s="19"/>
      <c r="R176" s="19"/>
      <c r="S176" s="19">
        <v>96</v>
      </c>
      <c r="T176" s="19"/>
      <c r="V176" s="19">
        <v>23</v>
      </c>
      <c r="W176" s="19">
        <v>5</v>
      </c>
      <c r="X176" s="19">
        <v>3</v>
      </c>
      <c r="Y176" s="19"/>
      <c r="Z176" s="19">
        <v>0</v>
      </c>
      <c r="AA176" s="19"/>
      <c r="AB176" s="19">
        <v>3</v>
      </c>
      <c r="AC176">
        <f t="shared" si="117"/>
        <v>34</v>
      </c>
    </row>
    <row r="177" spans="1:29" x14ac:dyDescent="0.25">
      <c r="B177" t="s">
        <v>21</v>
      </c>
      <c r="C177" s="19">
        <v>1302</v>
      </c>
      <c r="D177" s="19">
        <v>1055</v>
      </c>
      <c r="E177" s="19">
        <v>1006</v>
      </c>
      <c r="F177" s="19">
        <v>291</v>
      </c>
      <c r="G177" s="19"/>
      <c r="H177" s="19">
        <f>143+216+123+87</f>
        <v>569</v>
      </c>
      <c r="I177" s="19"/>
      <c r="K177" s="19"/>
      <c r="N177" s="19">
        <v>5786</v>
      </c>
      <c r="O177" s="19">
        <v>1429</v>
      </c>
      <c r="P177" s="19">
        <v>2219</v>
      </c>
      <c r="Q177" s="19"/>
      <c r="R177" s="19"/>
      <c r="S177" s="19">
        <v>1139</v>
      </c>
      <c r="T177" s="19"/>
      <c r="V177" s="19">
        <v>151</v>
      </c>
      <c r="W177" s="19">
        <v>12</v>
      </c>
      <c r="X177" s="19">
        <v>18</v>
      </c>
      <c r="Y177" s="19"/>
      <c r="Z177" s="19">
        <v>5</v>
      </c>
      <c r="AA177" s="19"/>
      <c r="AB177" s="19">
        <v>52</v>
      </c>
      <c r="AC177">
        <f t="shared" si="117"/>
        <v>238</v>
      </c>
    </row>
    <row r="178" spans="1:29" s="10" customFormat="1" x14ac:dyDescent="0.25">
      <c r="B178" s="10" t="s">
        <v>24</v>
      </c>
      <c r="C178" s="20">
        <f>SUM(C173:C177)</f>
        <v>2714</v>
      </c>
      <c r="D178" s="20">
        <f>SUM(D173:D177)</f>
        <v>2530</v>
      </c>
      <c r="E178" s="20">
        <f>SUM(E173:E177)</f>
        <v>2242</v>
      </c>
      <c r="F178" s="20">
        <f>SUM(F173:F177)</f>
        <v>718</v>
      </c>
      <c r="G178" s="20"/>
      <c r="H178" s="20">
        <f>SUM(H173:H177)</f>
        <v>1802</v>
      </c>
      <c r="I178" s="20"/>
      <c r="K178" s="21">
        <f>E178/C178</f>
        <v>0.82608695652173914</v>
      </c>
      <c r="L178" s="21">
        <f>E178/D178</f>
        <v>0.88616600790513833</v>
      </c>
      <c r="N178" s="20">
        <f>SUM(N173:N177)</f>
        <v>9404</v>
      </c>
      <c r="O178" s="20">
        <f>SUM(O173:O177)</f>
        <v>4428</v>
      </c>
      <c r="P178" s="20">
        <f>SUM(P173:P177)</f>
        <v>4135</v>
      </c>
      <c r="Q178" s="20"/>
      <c r="R178" s="20"/>
      <c r="S178" s="20">
        <f>SUM(S173:S177)</f>
        <v>1651</v>
      </c>
      <c r="T178" s="20"/>
      <c r="V178" s="20">
        <f t="shared" ref="V178:AB178" si="118">SUM(V173:V177)</f>
        <v>213</v>
      </c>
      <c r="W178" s="20">
        <f t="shared" si="118"/>
        <v>44</v>
      </c>
      <c r="X178" s="20">
        <f t="shared" si="118"/>
        <v>29</v>
      </c>
      <c r="Y178" s="20"/>
      <c r="Z178" s="20">
        <f t="shared" si="118"/>
        <v>5</v>
      </c>
      <c r="AA178" s="20"/>
      <c r="AB178" s="20">
        <f t="shared" si="118"/>
        <v>95</v>
      </c>
      <c r="AC178" s="10">
        <f t="shared" si="117"/>
        <v>386</v>
      </c>
    </row>
    <row r="179" spans="1:29" x14ac:dyDescent="0.25">
      <c r="B179" t="s">
        <v>22</v>
      </c>
      <c r="C179" s="19"/>
      <c r="D179" s="19"/>
      <c r="E179" s="19"/>
      <c r="F179" s="19"/>
      <c r="G179" s="19"/>
      <c r="H179" s="19"/>
      <c r="I179" s="19"/>
      <c r="K179" s="19"/>
      <c r="N179" s="19">
        <v>143</v>
      </c>
      <c r="O179" s="19">
        <v>348</v>
      </c>
      <c r="P179" s="19">
        <v>166</v>
      </c>
      <c r="Q179" s="19"/>
      <c r="R179" s="19"/>
      <c r="S179" s="19">
        <v>202</v>
      </c>
      <c r="T179" s="19">
        <v>363</v>
      </c>
      <c r="V179" s="19">
        <v>0</v>
      </c>
      <c r="W179" s="19">
        <v>2</v>
      </c>
      <c r="X179" s="19">
        <v>0</v>
      </c>
      <c r="Y179" s="19"/>
      <c r="Z179" s="19">
        <v>3</v>
      </c>
      <c r="AA179" s="19">
        <v>0</v>
      </c>
      <c r="AB179" s="19">
        <v>27</v>
      </c>
      <c r="AC179">
        <f t="shared" si="117"/>
        <v>32</v>
      </c>
    </row>
    <row r="180" spans="1:29" x14ac:dyDescent="0.25">
      <c r="B180" t="s">
        <v>23</v>
      </c>
      <c r="C180" s="19">
        <v>512</v>
      </c>
      <c r="D180" s="19">
        <v>872</v>
      </c>
      <c r="E180" s="19">
        <v>435</v>
      </c>
      <c r="F180" s="19">
        <v>37</v>
      </c>
      <c r="G180" s="19"/>
      <c r="H180" s="19">
        <f>28+9+572+127</f>
        <v>736</v>
      </c>
      <c r="I180" s="19">
        <v>516</v>
      </c>
      <c r="K180" s="19"/>
      <c r="N180" s="19">
        <v>174</v>
      </c>
      <c r="O180" s="19">
        <v>346</v>
      </c>
      <c r="P180" s="19">
        <v>166</v>
      </c>
      <c r="Q180" s="19"/>
      <c r="R180" s="19"/>
      <c r="S180" s="19">
        <v>372</v>
      </c>
      <c r="T180" s="19">
        <v>206</v>
      </c>
      <c r="V180" s="19">
        <v>2</v>
      </c>
      <c r="W180" s="19">
        <v>2</v>
      </c>
      <c r="X180" s="19">
        <v>0</v>
      </c>
      <c r="Y180" s="19"/>
      <c r="Z180" s="19">
        <v>5</v>
      </c>
      <c r="AA180" s="19">
        <v>0</v>
      </c>
      <c r="AB180" s="19">
        <v>13</v>
      </c>
      <c r="AC180">
        <f t="shared" si="117"/>
        <v>22</v>
      </c>
    </row>
    <row r="181" spans="1:29" x14ac:dyDescent="0.25">
      <c r="B181" t="s">
        <v>14</v>
      </c>
      <c r="C181" s="19">
        <f t="shared" ref="C181:I181" si="119">C178+C179+C180</f>
        <v>3226</v>
      </c>
      <c r="D181" s="19">
        <f t="shared" si="119"/>
        <v>3402</v>
      </c>
      <c r="E181" s="19">
        <f t="shared" si="119"/>
        <v>2677</v>
      </c>
      <c r="F181" s="19">
        <f t="shared" si="119"/>
        <v>755</v>
      </c>
      <c r="G181" s="19"/>
      <c r="H181" s="19">
        <f t="shared" si="119"/>
        <v>2538</v>
      </c>
      <c r="I181" s="19">
        <f t="shared" si="119"/>
        <v>516</v>
      </c>
      <c r="K181" s="19"/>
      <c r="N181" s="69">
        <f>N178+N179+N180</f>
        <v>9721</v>
      </c>
      <c r="O181" s="69">
        <f>O178+O179+O180</f>
        <v>5122</v>
      </c>
      <c r="P181" s="69">
        <f>P178+P179+P180</f>
        <v>4467</v>
      </c>
      <c r="Q181" s="69"/>
      <c r="R181" s="69"/>
      <c r="S181" s="69">
        <f>S178+S179+S180</f>
        <v>2225</v>
      </c>
      <c r="T181" s="69">
        <f>T178+T179+T180</f>
        <v>569</v>
      </c>
      <c r="V181" s="17">
        <f t="shared" ref="V181:AB181" si="120">V178+V179+V180</f>
        <v>215</v>
      </c>
      <c r="W181" s="17">
        <f t="shared" si="120"/>
        <v>48</v>
      </c>
      <c r="X181" s="17">
        <f t="shared" si="120"/>
        <v>29</v>
      </c>
      <c r="Y181" s="17"/>
      <c r="Z181" s="17">
        <f t="shared" si="120"/>
        <v>13</v>
      </c>
      <c r="AA181" s="17">
        <f t="shared" si="120"/>
        <v>0</v>
      </c>
      <c r="AB181" s="17">
        <f t="shared" si="120"/>
        <v>135</v>
      </c>
      <c r="AC181">
        <f t="shared" si="117"/>
        <v>440</v>
      </c>
    </row>
    <row r="182" spans="1:29" x14ac:dyDescent="0.25">
      <c r="B182" t="s">
        <v>74</v>
      </c>
      <c r="C182" s="19"/>
      <c r="D182" s="19"/>
      <c r="E182" s="19"/>
      <c r="F182" s="19"/>
      <c r="G182" s="19"/>
      <c r="H182" s="19"/>
      <c r="I182" s="19"/>
      <c r="K182" s="19"/>
      <c r="N182" s="11">
        <f>N181/(SUM($N181:$T181))</f>
        <v>0.43978465436120157</v>
      </c>
      <c r="O182" s="11">
        <f>O181/(SUM($N181:$T181))</f>
        <v>0.23172276511038725</v>
      </c>
      <c r="P182" s="11">
        <f>P181/(SUM($N181:$T181))</f>
        <v>0.20209011943539631</v>
      </c>
      <c r="Q182" s="11"/>
      <c r="R182" s="11"/>
      <c r="S182" s="11">
        <f>S181/(SUM($N181:$T181))</f>
        <v>0.10066051393412957</v>
      </c>
      <c r="T182" s="11">
        <f>T181/(SUM($N181:$T181))</f>
        <v>2.5741947158885271E-2</v>
      </c>
      <c r="V182" s="11">
        <f t="shared" ref="V182:AB182" si="121">V181/(SUM($V181:$AB181))</f>
        <v>0.48863636363636365</v>
      </c>
      <c r="W182" s="11">
        <f t="shared" si="121"/>
        <v>0.10909090909090909</v>
      </c>
      <c r="X182" s="11">
        <f t="shared" si="121"/>
        <v>6.5909090909090903E-2</v>
      </c>
      <c r="Y182" s="11">
        <f t="shared" si="121"/>
        <v>0</v>
      </c>
      <c r="Z182" s="11">
        <f t="shared" si="121"/>
        <v>2.9545454545454545E-2</v>
      </c>
      <c r="AA182" s="11">
        <f t="shared" si="121"/>
        <v>0</v>
      </c>
      <c r="AB182" s="11">
        <f t="shared" si="121"/>
        <v>0.30681818181818182</v>
      </c>
    </row>
    <row r="183" spans="1:29" x14ac:dyDescent="0.25">
      <c r="A183">
        <v>2007</v>
      </c>
      <c r="B183" t="s">
        <v>17</v>
      </c>
      <c r="C183" s="19"/>
      <c r="D183" s="19"/>
      <c r="E183" s="19"/>
      <c r="F183" s="19"/>
      <c r="G183" s="19"/>
      <c r="H183" s="19"/>
      <c r="I183" s="19"/>
      <c r="K183" s="19"/>
      <c r="N183" s="19">
        <v>783</v>
      </c>
      <c r="O183" s="19">
        <v>683</v>
      </c>
      <c r="P183" s="19">
        <v>321</v>
      </c>
      <c r="Q183" s="19"/>
      <c r="R183" s="19"/>
      <c r="S183" s="19">
        <v>74</v>
      </c>
      <c r="T183" s="19"/>
      <c r="V183">
        <v>14</v>
      </c>
      <c r="W183">
        <v>7</v>
      </c>
      <c r="X183">
        <v>3</v>
      </c>
      <c r="Z183">
        <v>0</v>
      </c>
      <c r="AB183">
        <v>8</v>
      </c>
      <c r="AC183">
        <f t="shared" ref="AC183:AC191" si="122">SUM(V183:AB183)</f>
        <v>32</v>
      </c>
    </row>
    <row r="184" spans="1:29" x14ac:dyDescent="0.25">
      <c r="B184" t="s">
        <v>18</v>
      </c>
      <c r="C184" s="19">
        <v>793</v>
      </c>
      <c r="D184" s="19">
        <v>825</v>
      </c>
      <c r="E184" s="19">
        <v>680</v>
      </c>
      <c r="F184" s="19">
        <v>334</v>
      </c>
      <c r="G184" s="19"/>
      <c r="H184" s="19">
        <f>122+513</f>
        <v>635</v>
      </c>
      <c r="I184" s="19"/>
      <c r="K184" s="19"/>
      <c r="N184" s="19">
        <v>551</v>
      </c>
      <c r="O184" s="19">
        <v>1181</v>
      </c>
      <c r="P184" s="19">
        <v>577</v>
      </c>
      <c r="Q184" s="19"/>
      <c r="R184" s="19"/>
      <c r="S184" s="19">
        <v>136</v>
      </c>
      <c r="T184" s="19"/>
      <c r="V184">
        <v>4</v>
      </c>
      <c r="W184">
        <v>13</v>
      </c>
      <c r="X184">
        <v>4</v>
      </c>
      <c r="Z184">
        <v>0</v>
      </c>
      <c r="AB184">
        <v>15</v>
      </c>
      <c r="AC184">
        <f t="shared" si="122"/>
        <v>36</v>
      </c>
    </row>
    <row r="185" spans="1:29" x14ac:dyDescent="0.25">
      <c r="B185" t="s">
        <v>19</v>
      </c>
      <c r="C185" s="19">
        <f>1199+344</f>
        <v>1543</v>
      </c>
      <c r="D185" s="19">
        <f>1004+354</f>
        <v>1358</v>
      </c>
      <c r="E185" s="19">
        <f>961+313</f>
        <v>1274</v>
      </c>
      <c r="F185" s="19">
        <f>195+128</f>
        <v>323</v>
      </c>
      <c r="G185" s="19"/>
      <c r="H185" s="19">
        <f>232+323+88+157</f>
        <v>800</v>
      </c>
      <c r="I185" s="19"/>
      <c r="K185" s="19"/>
      <c r="N185" s="19">
        <v>1010</v>
      </c>
      <c r="O185" s="19">
        <v>700</v>
      </c>
      <c r="P185" s="19">
        <v>506</v>
      </c>
      <c r="Q185" s="19"/>
      <c r="R185" s="19"/>
      <c r="S185" s="19">
        <v>191</v>
      </c>
      <c r="T185" s="19"/>
      <c r="V185">
        <v>18</v>
      </c>
      <c r="W185">
        <v>9</v>
      </c>
      <c r="X185">
        <v>1</v>
      </c>
      <c r="Z185">
        <v>0</v>
      </c>
      <c r="AB185">
        <v>18</v>
      </c>
      <c r="AC185">
        <f t="shared" si="122"/>
        <v>46</v>
      </c>
    </row>
    <row r="186" spans="1:29" x14ac:dyDescent="0.25">
      <c r="B186" t="s">
        <v>20</v>
      </c>
      <c r="C186" s="19"/>
      <c r="D186" s="19"/>
      <c r="E186" s="19"/>
      <c r="F186" s="19"/>
      <c r="G186" s="19"/>
      <c r="H186" s="19"/>
      <c r="I186" s="19"/>
      <c r="K186" s="19"/>
      <c r="N186" s="19">
        <v>1150</v>
      </c>
      <c r="O186" s="19">
        <v>572</v>
      </c>
      <c r="P186" s="19">
        <v>471</v>
      </c>
      <c r="Q186" s="19"/>
      <c r="R186" s="19"/>
      <c r="S186" s="19">
        <v>76</v>
      </c>
      <c r="T186" s="19"/>
      <c r="V186">
        <v>23</v>
      </c>
      <c r="W186">
        <v>6</v>
      </c>
      <c r="X186">
        <v>3</v>
      </c>
      <c r="Z186">
        <v>0</v>
      </c>
      <c r="AB186">
        <v>2</v>
      </c>
      <c r="AC186">
        <f t="shared" si="122"/>
        <v>34</v>
      </c>
    </row>
    <row r="187" spans="1:29" x14ac:dyDescent="0.25">
      <c r="B187" t="s">
        <v>21</v>
      </c>
      <c r="C187" s="19">
        <f>5687+1239</f>
        <v>6926</v>
      </c>
      <c r="D187" s="19">
        <f>3144+1016</f>
        <v>4160</v>
      </c>
      <c r="E187" s="19">
        <f>3786+933</f>
        <v>4719</v>
      </c>
      <c r="F187" s="19">
        <f>457+300</f>
        <v>757</v>
      </c>
      <c r="G187" s="19"/>
      <c r="H187" s="19">
        <f>1303+978+136+417</f>
        <v>2834</v>
      </c>
      <c r="I187" s="19"/>
      <c r="K187" s="19"/>
      <c r="N187" s="19">
        <v>5681</v>
      </c>
      <c r="O187" s="19">
        <v>1520</v>
      </c>
      <c r="P187" s="19">
        <v>2231</v>
      </c>
      <c r="Q187" s="19"/>
      <c r="R187" s="19"/>
      <c r="S187" s="19">
        <v>1144</v>
      </c>
      <c r="T187" s="19"/>
      <c r="V187">
        <v>145</v>
      </c>
      <c r="W187">
        <v>13</v>
      </c>
      <c r="X187">
        <v>18</v>
      </c>
      <c r="Z187">
        <v>5</v>
      </c>
      <c r="AB187">
        <v>57</v>
      </c>
      <c r="AC187">
        <f t="shared" si="122"/>
        <v>238</v>
      </c>
    </row>
    <row r="188" spans="1:29" s="10" customFormat="1" x14ac:dyDescent="0.25">
      <c r="B188" s="10" t="s">
        <v>24</v>
      </c>
      <c r="C188" s="20">
        <f>SUM(C183:C187)</f>
        <v>9262</v>
      </c>
      <c r="D188" s="20">
        <f>SUM(D183:D187)</f>
        <v>6343</v>
      </c>
      <c r="E188" s="20">
        <f>SUM(E183:E187)</f>
        <v>6673</v>
      </c>
      <c r="F188" s="20">
        <f>SUM(F183:F187)</f>
        <v>1414</v>
      </c>
      <c r="G188" s="20"/>
      <c r="H188" s="20">
        <f>SUM(H183:H187)</f>
        <v>4269</v>
      </c>
      <c r="I188" s="20"/>
      <c r="K188" s="21">
        <f>E188/C188</f>
        <v>0.72047074066076444</v>
      </c>
      <c r="L188" s="21">
        <f>E188/D188</f>
        <v>1.05202585527353</v>
      </c>
      <c r="N188" s="20">
        <f>SUM(N183:N187)</f>
        <v>9175</v>
      </c>
      <c r="O188" s="20">
        <f>SUM(O183:O187)</f>
        <v>4656</v>
      </c>
      <c r="P188" s="20">
        <f>SUM(P183:P187)</f>
        <v>4106</v>
      </c>
      <c r="Q188" s="20"/>
      <c r="R188" s="20"/>
      <c r="S188" s="20">
        <f>SUM(S183:S187)</f>
        <v>1621</v>
      </c>
      <c r="T188" s="20"/>
      <c r="V188" s="10">
        <f>SUM(V183:V187)</f>
        <v>204</v>
      </c>
      <c r="W188" s="10">
        <f>SUM(W183:W187)</f>
        <v>48</v>
      </c>
      <c r="X188" s="10">
        <f>SUM(X183:X187)</f>
        <v>29</v>
      </c>
      <c r="Z188" s="10">
        <f>SUM(Z183:Z187)</f>
        <v>5</v>
      </c>
      <c r="AB188" s="10">
        <f>SUM(AB183:AB187)</f>
        <v>100</v>
      </c>
      <c r="AC188" s="10">
        <f t="shared" si="122"/>
        <v>386</v>
      </c>
    </row>
    <row r="189" spans="1:29" x14ac:dyDescent="0.25">
      <c r="B189" t="s">
        <v>22</v>
      </c>
      <c r="C189" s="19">
        <v>379</v>
      </c>
      <c r="D189" s="19">
        <v>521</v>
      </c>
      <c r="E189" s="19">
        <v>331</v>
      </c>
      <c r="F189" s="19">
        <v>100</v>
      </c>
      <c r="G189" s="19"/>
      <c r="H189" s="19">
        <f>551+126+83+79</f>
        <v>839</v>
      </c>
      <c r="I189" s="19">
        <v>436</v>
      </c>
      <c r="K189" s="19"/>
      <c r="N189" s="19">
        <v>143</v>
      </c>
      <c r="O189" s="19">
        <v>348</v>
      </c>
      <c r="P189" s="19">
        <v>166</v>
      </c>
      <c r="Q189" s="19"/>
      <c r="R189" s="19"/>
      <c r="S189" s="19">
        <v>202</v>
      </c>
      <c r="T189" s="19">
        <v>363</v>
      </c>
      <c r="V189">
        <v>0</v>
      </c>
      <c r="W189">
        <v>2</v>
      </c>
      <c r="X189">
        <v>0</v>
      </c>
      <c r="Z189">
        <v>3</v>
      </c>
      <c r="AA189">
        <v>0</v>
      </c>
      <c r="AB189">
        <v>27</v>
      </c>
      <c r="AC189">
        <f t="shared" si="122"/>
        <v>32</v>
      </c>
    </row>
    <row r="190" spans="1:29" x14ac:dyDescent="0.25">
      <c r="B190" t="s">
        <v>23</v>
      </c>
      <c r="C190" s="19"/>
      <c r="D190" s="19"/>
      <c r="E190" s="19"/>
      <c r="F190" s="19"/>
      <c r="G190" s="19"/>
      <c r="H190" s="19"/>
      <c r="I190" s="19"/>
      <c r="K190" s="19"/>
      <c r="N190" s="19">
        <v>113</v>
      </c>
      <c r="O190" s="19">
        <v>479</v>
      </c>
      <c r="P190" s="19">
        <v>148</v>
      </c>
      <c r="Q190" s="19"/>
      <c r="R190" s="19"/>
      <c r="S190" s="19">
        <v>350</v>
      </c>
      <c r="T190" s="19">
        <v>174</v>
      </c>
      <c r="V190">
        <v>1</v>
      </c>
      <c r="W190">
        <v>8</v>
      </c>
      <c r="X190">
        <v>0</v>
      </c>
      <c r="Z190">
        <v>3</v>
      </c>
      <c r="AA190">
        <v>1</v>
      </c>
      <c r="AB190">
        <v>9</v>
      </c>
      <c r="AC190">
        <f t="shared" si="122"/>
        <v>22</v>
      </c>
    </row>
    <row r="191" spans="1:29" x14ac:dyDescent="0.25">
      <c r="B191" t="s">
        <v>14</v>
      </c>
      <c r="C191" s="19">
        <f t="shared" ref="C191:I191" si="123">C188+C189+C190</f>
        <v>9641</v>
      </c>
      <c r="D191" s="19">
        <f t="shared" si="123"/>
        <v>6864</v>
      </c>
      <c r="E191" s="19">
        <f t="shared" si="123"/>
        <v>7004</v>
      </c>
      <c r="F191" s="19">
        <f t="shared" si="123"/>
        <v>1514</v>
      </c>
      <c r="G191" s="19"/>
      <c r="H191" s="19">
        <f t="shared" si="123"/>
        <v>5108</v>
      </c>
      <c r="I191" s="19">
        <f t="shared" si="123"/>
        <v>436</v>
      </c>
      <c r="K191" s="19"/>
      <c r="N191" s="69">
        <f>N188+N189+N190</f>
        <v>9431</v>
      </c>
      <c r="O191" s="69">
        <f>O188+O189+O190</f>
        <v>5483</v>
      </c>
      <c r="P191" s="69">
        <f>P188+P189+P190</f>
        <v>4420</v>
      </c>
      <c r="Q191" s="69"/>
      <c r="R191" s="69"/>
      <c r="S191" s="69">
        <f>S188+S189+S190</f>
        <v>2173</v>
      </c>
      <c r="T191" s="69">
        <f>T188+T189+T190</f>
        <v>537</v>
      </c>
      <c r="V191" s="17">
        <f t="shared" ref="V191:AB191" si="124">V188+V189+V190</f>
        <v>205</v>
      </c>
      <c r="W191" s="17">
        <f t="shared" si="124"/>
        <v>58</v>
      </c>
      <c r="X191" s="17">
        <f t="shared" si="124"/>
        <v>29</v>
      </c>
      <c r="Y191" s="17"/>
      <c r="Z191" s="17">
        <f t="shared" si="124"/>
        <v>11</v>
      </c>
      <c r="AA191" s="17">
        <f t="shared" si="124"/>
        <v>1</v>
      </c>
      <c r="AB191" s="17">
        <f t="shared" si="124"/>
        <v>136</v>
      </c>
      <c r="AC191">
        <f t="shared" si="122"/>
        <v>440</v>
      </c>
    </row>
    <row r="192" spans="1:29" x14ac:dyDescent="0.25">
      <c r="B192" t="s">
        <v>74</v>
      </c>
      <c r="C192" s="19"/>
      <c r="D192" s="19"/>
      <c r="E192" s="19"/>
      <c r="F192" s="19"/>
      <c r="G192" s="19"/>
      <c r="H192" s="19"/>
      <c r="I192" s="19"/>
      <c r="K192" s="19"/>
      <c r="N192" s="11">
        <f>N191/(SUM($N191:$T191))</f>
        <v>0.42782616585011796</v>
      </c>
      <c r="O192" s="11">
        <f>O191/(SUM($N191:$T191))</f>
        <v>0.24872981310107059</v>
      </c>
      <c r="P192" s="11">
        <f>P191/(SUM($N191:$T191))</f>
        <v>0.20050807475957177</v>
      </c>
      <c r="Q192" s="11"/>
      <c r="R192" s="11"/>
      <c r="S192" s="11">
        <f>S191/(SUM($N191:$T191))</f>
        <v>9.85755761204863E-2</v>
      </c>
      <c r="T192" s="11">
        <f>T191/(SUM($N191:$T191))</f>
        <v>2.4360370168753403E-2</v>
      </c>
      <c r="V192" s="11">
        <f t="shared" ref="V192:AB192" si="125">V191/(SUM($V191:$AB191))</f>
        <v>0.46590909090909088</v>
      </c>
      <c r="W192" s="11">
        <f t="shared" si="125"/>
        <v>0.13181818181818181</v>
      </c>
      <c r="X192" s="11">
        <f t="shared" si="125"/>
        <v>6.5909090909090903E-2</v>
      </c>
      <c r="Y192" s="11">
        <f t="shared" si="125"/>
        <v>0</v>
      </c>
      <c r="Z192" s="11">
        <f t="shared" si="125"/>
        <v>2.5000000000000001E-2</v>
      </c>
      <c r="AA192" s="11">
        <f t="shared" si="125"/>
        <v>2.2727272727272726E-3</v>
      </c>
      <c r="AB192" s="11">
        <f t="shared" si="125"/>
        <v>0.30909090909090908</v>
      </c>
    </row>
    <row r="193" spans="1:29" x14ac:dyDescent="0.25">
      <c r="A193">
        <v>2006</v>
      </c>
      <c r="B193" t="s">
        <v>17</v>
      </c>
      <c r="C193" s="19">
        <v>1811</v>
      </c>
      <c r="D193" s="19">
        <v>1828</v>
      </c>
      <c r="E193" s="19">
        <v>1537</v>
      </c>
      <c r="F193" s="19">
        <v>567</v>
      </c>
      <c r="G193" s="19"/>
      <c r="H193" s="19">
        <f>163+407</f>
        <v>570</v>
      </c>
      <c r="I193" s="19"/>
      <c r="K193" s="19"/>
      <c r="N193" s="19">
        <v>784</v>
      </c>
      <c r="O193" s="19">
        <v>685</v>
      </c>
      <c r="P193" s="19">
        <v>318</v>
      </c>
      <c r="Q193" s="19"/>
      <c r="R193" s="19"/>
      <c r="S193" s="19">
        <v>74</v>
      </c>
      <c r="T193" s="19"/>
      <c r="V193">
        <v>14</v>
      </c>
      <c r="W193">
        <v>7</v>
      </c>
      <c r="X193">
        <v>3</v>
      </c>
      <c r="Z193">
        <v>0</v>
      </c>
      <c r="AB193">
        <v>8</v>
      </c>
      <c r="AC193">
        <f t="shared" ref="AC193:AC201" si="126">SUM(V193:AB193)</f>
        <v>32</v>
      </c>
    </row>
    <row r="194" spans="1:29" x14ac:dyDescent="0.25">
      <c r="B194" t="s">
        <v>18</v>
      </c>
      <c r="C194" s="19">
        <v>773</v>
      </c>
      <c r="D194" s="19">
        <v>826</v>
      </c>
      <c r="E194" s="19">
        <v>707</v>
      </c>
      <c r="F194" s="19">
        <v>290</v>
      </c>
      <c r="G194" s="19"/>
      <c r="H194" s="19">
        <f>111+381</f>
        <v>492</v>
      </c>
      <c r="I194" s="19"/>
      <c r="K194" s="19"/>
      <c r="N194" s="19">
        <v>550</v>
      </c>
      <c r="O194" s="19">
        <v>1174</v>
      </c>
      <c r="P194" s="19">
        <v>583</v>
      </c>
      <c r="Q194" s="19"/>
      <c r="R194" s="19"/>
      <c r="S194" s="19">
        <v>136</v>
      </c>
      <c r="T194" s="19"/>
      <c r="V194">
        <v>5</v>
      </c>
      <c r="W194">
        <v>15</v>
      </c>
      <c r="X194">
        <v>3</v>
      </c>
      <c r="Z194">
        <v>0</v>
      </c>
      <c r="AB194">
        <v>13</v>
      </c>
      <c r="AC194">
        <f t="shared" si="126"/>
        <v>36</v>
      </c>
    </row>
    <row r="195" spans="1:29" x14ac:dyDescent="0.25">
      <c r="B195" t="s">
        <v>19</v>
      </c>
      <c r="C195" s="19">
        <v>332</v>
      </c>
      <c r="D195" s="19">
        <v>352</v>
      </c>
      <c r="E195" s="19">
        <v>297</v>
      </c>
      <c r="F195" s="19">
        <v>102</v>
      </c>
      <c r="G195" s="19"/>
      <c r="H195" s="19">
        <f>73+127</f>
        <v>200</v>
      </c>
      <c r="I195" s="19"/>
      <c r="K195" s="19"/>
      <c r="N195" s="19">
        <v>805</v>
      </c>
      <c r="O195" s="19">
        <v>768</v>
      </c>
      <c r="P195" s="19">
        <v>655</v>
      </c>
      <c r="Q195" s="19"/>
      <c r="R195" s="19"/>
      <c r="S195" s="19">
        <v>176</v>
      </c>
      <c r="T195" s="19"/>
      <c r="V195">
        <v>12</v>
      </c>
      <c r="W195">
        <v>8</v>
      </c>
      <c r="X195">
        <v>4</v>
      </c>
      <c r="Z195">
        <v>0</v>
      </c>
      <c r="AB195">
        <v>22</v>
      </c>
      <c r="AC195">
        <f t="shared" si="126"/>
        <v>46</v>
      </c>
    </row>
    <row r="196" spans="1:29" x14ac:dyDescent="0.25">
      <c r="B196" t="s">
        <v>20</v>
      </c>
      <c r="C196" s="19"/>
      <c r="D196" s="19"/>
      <c r="E196" s="19"/>
      <c r="F196" s="19"/>
      <c r="G196" s="19"/>
      <c r="H196" s="19"/>
      <c r="I196" s="19"/>
      <c r="K196" s="19"/>
      <c r="N196" s="19">
        <v>1147</v>
      </c>
      <c r="O196" s="19">
        <v>575</v>
      </c>
      <c r="P196" s="19">
        <v>469</v>
      </c>
      <c r="Q196" s="19"/>
      <c r="R196" s="19"/>
      <c r="S196" s="19">
        <v>78</v>
      </c>
      <c r="T196" s="19"/>
      <c r="V196">
        <v>23</v>
      </c>
      <c r="W196">
        <v>6</v>
      </c>
      <c r="X196">
        <v>3</v>
      </c>
      <c r="Z196">
        <v>0</v>
      </c>
      <c r="AB196">
        <v>2</v>
      </c>
      <c r="AC196">
        <f t="shared" si="126"/>
        <v>34</v>
      </c>
    </row>
    <row r="197" spans="1:29" x14ac:dyDescent="0.25">
      <c r="B197" t="s">
        <v>21</v>
      </c>
      <c r="C197" s="19">
        <v>1335</v>
      </c>
      <c r="D197" s="19">
        <v>1171</v>
      </c>
      <c r="E197" s="19">
        <v>1060</v>
      </c>
      <c r="F197" s="19">
        <v>331</v>
      </c>
      <c r="G197" s="19"/>
      <c r="H197" s="19">
        <f>124+303</f>
        <v>427</v>
      </c>
      <c r="I197" s="19"/>
      <c r="K197" s="19"/>
      <c r="N197" s="19">
        <v>4972</v>
      </c>
      <c r="O197" s="19">
        <v>1998</v>
      </c>
      <c r="P197" s="19">
        <v>2375</v>
      </c>
      <c r="Q197" s="19"/>
      <c r="R197" s="19"/>
      <c r="S197" s="19">
        <v>1223</v>
      </c>
      <c r="T197" s="19"/>
      <c r="V197">
        <v>114</v>
      </c>
      <c r="W197">
        <v>18</v>
      </c>
      <c r="X197">
        <v>19</v>
      </c>
      <c r="Z197">
        <v>5</v>
      </c>
      <c r="AB197">
        <v>82</v>
      </c>
      <c r="AC197">
        <f t="shared" si="126"/>
        <v>238</v>
      </c>
    </row>
    <row r="198" spans="1:29" s="10" customFormat="1" x14ac:dyDescent="0.25">
      <c r="B198" s="10" t="s">
        <v>24</v>
      </c>
      <c r="C198" s="20">
        <f>SUM(C193:C197)</f>
        <v>4251</v>
      </c>
      <c r="D198" s="20">
        <f>SUM(D193:D197)</f>
        <v>4177</v>
      </c>
      <c r="E198" s="20">
        <f>SUM(E193:E197)</f>
        <v>3601</v>
      </c>
      <c r="F198" s="20">
        <f>SUM(F193:F197)</f>
        <v>1290</v>
      </c>
      <c r="G198" s="20"/>
      <c r="H198" s="20">
        <f>SUM(H193:H197)</f>
        <v>1689</v>
      </c>
      <c r="I198" s="20"/>
      <c r="K198" s="21">
        <f>E198/C198</f>
        <v>0.84709480122324154</v>
      </c>
      <c r="L198" s="21">
        <f>E198/D198</f>
        <v>0.86210198707206132</v>
      </c>
      <c r="N198" s="20">
        <f>SUM(N193:N197)</f>
        <v>8258</v>
      </c>
      <c r="O198" s="20">
        <f>SUM(O193:O197)</f>
        <v>5200</v>
      </c>
      <c r="P198" s="20">
        <f>SUM(P193:P197)</f>
        <v>4400</v>
      </c>
      <c r="Q198" s="20"/>
      <c r="R198" s="20"/>
      <c r="S198" s="20">
        <f>SUM(S193:S197)</f>
        <v>1687</v>
      </c>
      <c r="T198" s="20"/>
      <c r="V198" s="10">
        <f>SUM(V193:V197)</f>
        <v>168</v>
      </c>
      <c r="W198" s="10">
        <f>SUM(W193:W197)</f>
        <v>54</v>
      </c>
      <c r="X198" s="10">
        <f>SUM(X193:X197)</f>
        <v>32</v>
      </c>
      <c r="Z198" s="10">
        <f>SUM(Z193:Z197)</f>
        <v>5</v>
      </c>
      <c r="AB198" s="10">
        <f>SUM(AB193:AB197)</f>
        <v>127</v>
      </c>
      <c r="AC198" s="10">
        <f t="shared" si="126"/>
        <v>386</v>
      </c>
    </row>
    <row r="199" spans="1:29" x14ac:dyDescent="0.25">
      <c r="B199" t="s">
        <v>22</v>
      </c>
      <c r="C199" s="19"/>
      <c r="D199" s="19"/>
      <c r="E199" s="19"/>
      <c r="F199" s="19"/>
      <c r="G199" s="19"/>
      <c r="H199" s="19"/>
      <c r="I199" s="19"/>
      <c r="K199" s="19"/>
      <c r="N199" s="19">
        <v>126</v>
      </c>
      <c r="O199" s="19">
        <v>497</v>
      </c>
      <c r="P199" s="19">
        <v>175</v>
      </c>
      <c r="Q199" s="19"/>
      <c r="R199" s="19"/>
      <c r="S199" s="19">
        <v>234</v>
      </c>
      <c r="T199" s="19">
        <v>190</v>
      </c>
      <c r="V199">
        <v>0</v>
      </c>
      <c r="W199">
        <v>13</v>
      </c>
      <c r="X199">
        <v>1</v>
      </c>
      <c r="Z199">
        <v>6</v>
      </c>
      <c r="AA199">
        <v>1</v>
      </c>
      <c r="AB199">
        <v>11</v>
      </c>
      <c r="AC199">
        <f t="shared" si="126"/>
        <v>32</v>
      </c>
    </row>
    <row r="200" spans="1:29" x14ac:dyDescent="0.25">
      <c r="B200" t="s">
        <v>23</v>
      </c>
      <c r="C200" s="19"/>
      <c r="D200" s="19"/>
      <c r="E200" s="19"/>
      <c r="F200" s="19"/>
      <c r="G200" s="19"/>
      <c r="H200" s="19"/>
      <c r="I200" s="19"/>
      <c r="K200" s="19"/>
      <c r="N200" s="19">
        <v>111</v>
      </c>
      <c r="O200" s="19">
        <v>479</v>
      </c>
      <c r="P200" s="19">
        <v>148</v>
      </c>
      <c r="Q200" s="19"/>
      <c r="R200" s="19"/>
      <c r="S200" s="19">
        <v>352</v>
      </c>
      <c r="T200" s="19">
        <v>174</v>
      </c>
      <c r="V200">
        <v>1</v>
      </c>
      <c r="W200">
        <v>8</v>
      </c>
      <c r="X200">
        <v>0</v>
      </c>
      <c r="Z200">
        <v>3</v>
      </c>
      <c r="AA200">
        <v>1</v>
      </c>
      <c r="AB200">
        <v>9</v>
      </c>
      <c r="AC200">
        <f t="shared" si="126"/>
        <v>22</v>
      </c>
    </row>
    <row r="201" spans="1:29" x14ac:dyDescent="0.25">
      <c r="B201" t="s">
        <v>14</v>
      </c>
      <c r="C201" s="19">
        <f t="shared" ref="C201:I201" si="127">C198+C199+C200</f>
        <v>4251</v>
      </c>
      <c r="D201" s="19">
        <f t="shared" si="127"/>
        <v>4177</v>
      </c>
      <c r="E201" s="19">
        <f t="shared" si="127"/>
        <v>3601</v>
      </c>
      <c r="F201" s="19">
        <f t="shared" si="127"/>
        <v>1290</v>
      </c>
      <c r="G201" s="19"/>
      <c r="H201" s="19">
        <f t="shared" si="127"/>
        <v>1689</v>
      </c>
      <c r="I201" s="19">
        <f t="shared" si="127"/>
        <v>0</v>
      </c>
      <c r="K201" s="19"/>
      <c r="N201" s="69">
        <f>N198+N199+N200</f>
        <v>8495</v>
      </c>
      <c r="O201" s="69">
        <f>O198+O199+O200</f>
        <v>6176</v>
      </c>
      <c r="P201" s="69">
        <f>P198+P199+P200</f>
        <v>4723</v>
      </c>
      <c r="Q201" s="69"/>
      <c r="R201" s="69"/>
      <c r="S201" s="69">
        <f>S198+S199+S200</f>
        <v>2273</v>
      </c>
      <c r="T201" s="69">
        <f>T198+T199+T200</f>
        <v>364</v>
      </c>
      <c r="V201" s="17">
        <f t="shared" ref="V201:AB201" si="128">V198+V199+V200</f>
        <v>169</v>
      </c>
      <c r="W201" s="17">
        <f t="shared" si="128"/>
        <v>75</v>
      </c>
      <c r="X201" s="17">
        <f t="shared" si="128"/>
        <v>33</v>
      </c>
      <c r="Y201" s="17"/>
      <c r="Z201" s="17">
        <f t="shared" si="128"/>
        <v>14</v>
      </c>
      <c r="AA201" s="17">
        <f t="shared" si="128"/>
        <v>2</v>
      </c>
      <c r="AB201" s="17">
        <f t="shared" si="128"/>
        <v>147</v>
      </c>
      <c r="AC201">
        <f t="shared" si="126"/>
        <v>440</v>
      </c>
    </row>
    <row r="202" spans="1:29" x14ac:dyDescent="0.25">
      <c r="B202" t="s">
        <v>74</v>
      </c>
      <c r="C202" s="19"/>
      <c r="D202" s="19"/>
      <c r="E202" s="19"/>
      <c r="F202" s="19"/>
      <c r="G202" s="19"/>
      <c r="H202" s="19"/>
      <c r="I202" s="19"/>
      <c r="K202" s="19"/>
      <c r="N202" s="11">
        <f>N201/(SUM($N201:$T201))</f>
        <v>0.38559302800599154</v>
      </c>
      <c r="O202" s="11">
        <f>O201/(SUM($N201:$T201))</f>
        <v>0.28033225908946485</v>
      </c>
      <c r="P202" s="11">
        <f>P201/(SUM($N201:$T201))</f>
        <v>0.21437973764241297</v>
      </c>
      <c r="Q202" s="11"/>
      <c r="R202" s="11"/>
      <c r="S202" s="11">
        <f>S201/(SUM($N201:$T201))</f>
        <v>0.10317280196087332</v>
      </c>
      <c r="T202" s="11">
        <f>T201/(SUM($N201:$T201))</f>
        <v>1.6522173301257319E-2</v>
      </c>
      <c r="V202" s="11">
        <f t="shared" ref="V202:AB202" si="129">V201/(SUM($V201:$AB201))</f>
        <v>0.38409090909090909</v>
      </c>
      <c r="W202" s="11">
        <f t="shared" si="129"/>
        <v>0.17045454545454544</v>
      </c>
      <c r="X202" s="11">
        <f t="shared" si="129"/>
        <v>7.4999999999999997E-2</v>
      </c>
      <c r="Y202" s="11">
        <f t="shared" si="129"/>
        <v>0</v>
      </c>
      <c r="Z202" s="11">
        <f t="shared" si="129"/>
        <v>3.1818181818181815E-2</v>
      </c>
      <c r="AA202" s="11">
        <f t="shared" si="129"/>
        <v>4.5454545454545452E-3</v>
      </c>
      <c r="AB202" s="11">
        <f t="shared" si="129"/>
        <v>0.33409090909090911</v>
      </c>
    </row>
    <row r="203" spans="1:29" x14ac:dyDescent="0.25">
      <c r="A203">
        <v>2005</v>
      </c>
      <c r="B203" t="s">
        <v>17</v>
      </c>
      <c r="C203" s="19"/>
      <c r="D203" s="19"/>
      <c r="E203" s="19"/>
      <c r="F203" s="19"/>
      <c r="G203" s="19"/>
      <c r="H203" s="19"/>
      <c r="I203" s="19"/>
      <c r="K203" s="19"/>
      <c r="N203" s="19">
        <v>650</v>
      </c>
      <c r="O203" s="19">
        <v>854</v>
      </c>
      <c r="P203" s="19">
        <v>317</v>
      </c>
      <c r="Q203" s="19"/>
      <c r="R203" s="19"/>
      <c r="S203" s="19">
        <v>40</v>
      </c>
      <c r="T203" s="19"/>
      <c r="V203">
        <v>8</v>
      </c>
      <c r="W203">
        <v>15</v>
      </c>
      <c r="X203">
        <v>3</v>
      </c>
      <c r="Z203">
        <v>0</v>
      </c>
      <c r="AB203">
        <v>6</v>
      </c>
      <c r="AC203">
        <f t="shared" ref="AC203:AC211" si="130">SUM(V203:AB203)</f>
        <v>32</v>
      </c>
    </row>
    <row r="204" spans="1:29" x14ac:dyDescent="0.25">
      <c r="B204" t="s">
        <v>18</v>
      </c>
      <c r="C204" s="19"/>
      <c r="D204" s="19"/>
      <c r="E204" s="19"/>
      <c r="F204" s="19"/>
      <c r="G204" s="19"/>
      <c r="H204" s="19"/>
      <c r="I204" s="19"/>
      <c r="K204" s="19"/>
      <c r="N204" s="19">
        <v>546</v>
      </c>
      <c r="O204" s="19">
        <v>1182</v>
      </c>
      <c r="P204" s="19">
        <v>593</v>
      </c>
      <c r="Q204" s="19"/>
      <c r="R204" s="19"/>
      <c r="S204" s="19">
        <v>124</v>
      </c>
      <c r="T204" s="19"/>
      <c r="V204">
        <v>4</v>
      </c>
      <c r="W204">
        <v>16</v>
      </c>
      <c r="X204">
        <v>3</v>
      </c>
      <c r="Z204">
        <v>0</v>
      </c>
      <c r="AB204">
        <v>13</v>
      </c>
      <c r="AC204">
        <f t="shared" si="130"/>
        <v>36</v>
      </c>
    </row>
    <row r="205" spans="1:29" x14ac:dyDescent="0.25">
      <c r="B205" t="s">
        <v>19</v>
      </c>
      <c r="C205" s="19">
        <v>103</v>
      </c>
      <c r="D205" s="19">
        <v>94</v>
      </c>
      <c r="E205" s="19">
        <v>100</v>
      </c>
      <c r="F205" s="19">
        <v>20</v>
      </c>
      <c r="G205" s="19"/>
      <c r="H205" s="19">
        <f>29+26</f>
        <v>55</v>
      </c>
      <c r="I205" s="19"/>
      <c r="K205" s="19"/>
      <c r="N205" s="19">
        <v>778</v>
      </c>
      <c r="O205" s="19">
        <v>808</v>
      </c>
      <c r="P205" s="19">
        <v>662</v>
      </c>
      <c r="Q205" s="19"/>
      <c r="R205" s="19"/>
      <c r="S205" s="19">
        <v>159</v>
      </c>
      <c r="T205" s="19"/>
      <c r="V205">
        <v>11</v>
      </c>
      <c r="W205">
        <v>12</v>
      </c>
      <c r="X205">
        <v>5</v>
      </c>
      <c r="Z205">
        <v>0</v>
      </c>
      <c r="AB205">
        <v>18</v>
      </c>
      <c r="AC205">
        <f t="shared" si="130"/>
        <v>46</v>
      </c>
    </row>
    <row r="206" spans="1:29" x14ac:dyDescent="0.25">
      <c r="B206" t="s">
        <v>20</v>
      </c>
      <c r="C206" s="19">
        <v>2220</v>
      </c>
      <c r="D206" s="19">
        <v>1954</v>
      </c>
      <c r="E206" s="19">
        <v>2037</v>
      </c>
      <c r="F206" s="19">
        <v>583</v>
      </c>
      <c r="G206" s="19"/>
      <c r="H206" s="19">
        <f>342+471</f>
        <v>813</v>
      </c>
      <c r="I206" s="19"/>
      <c r="K206" s="19"/>
      <c r="N206" s="19">
        <v>1147</v>
      </c>
      <c r="O206" s="19">
        <v>575</v>
      </c>
      <c r="P206" s="19">
        <v>470</v>
      </c>
      <c r="Q206" s="19"/>
      <c r="R206" s="19"/>
      <c r="S206" s="19">
        <v>77</v>
      </c>
      <c r="T206" s="19"/>
      <c r="V206">
        <v>23</v>
      </c>
      <c r="W206">
        <v>6</v>
      </c>
      <c r="X206">
        <v>3</v>
      </c>
      <c r="Z206">
        <v>0</v>
      </c>
      <c r="AB206">
        <v>2</v>
      </c>
      <c r="AC206">
        <f t="shared" si="130"/>
        <v>34</v>
      </c>
    </row>
    <row r="207" spans="1:29" x14ac:dyDescent="0.25">
      <c r="B207" t="s">
        <v>21</v>
      </c>
      <c r="C207" s="19"/>
      <c r="D207" s="19"/>
      <c r="E207" s="19"/>
      <c r="F207" s="19"/>
      <c r="G207" s="19"/>
      <c r="H207" s="19"/>
      <c r="I207" s="19"/>
      <c r="K207" s="19"/>
      <c r="N207" s="19">
        <v>4837</v>
      </c>
      <c r="O207" s="19">
        <v>2116</v>
      </c>
      <c r="P207" s="19">
        <v>2377</v>
      </c>
      <c r="Q207" s="19"/>
      <c r="R207" s="19"/>
      <c r="S207" s="19">
        <v>1246</v>
      </c>
      <c r="T207" s="19"/>
      <c r="V207">
        <v>109</v>
      </c>
      <c r="W207">
        <v>22</v>
      </c>
      <c r="X207">
        <v>17</v>
      </c>
      <c r="Z207">
        <v>7</v>
      </c>
      <c r="AB207">
        <v>83</v>
      </c>
      <c r="AC207">
        <f t="shared" si="130"/>
        <v>238</v>
      </c>
    </row>
    <row r="208" spans="1:29" s="10" customFormat="1" x14ac:dyDescent="0.25">
      <c r="B208" s="10" t="s">
        <v>24</v>
      </c>
      <c r="C208" s="20">
        <f>SUM(C203:C207)</f>
        <v>2323</v>
      </c>
      <c r="D208" s="20">
        <f>SUM(D203:D207)</f>
        <v>2048</v>
      </c>
      <c r="E208" s="20">
        <f>SUM(E203:E207)</f>
        <v>2137</v>
      </c>
      <c r="F208" s="20">
        <f>SUM(F203:F207)</f>
        <v>603</v>
      </c>
      <c r="G208" s="20"/>
      <c r="H208" s="20">
        <f>SUM(H203:H207)</f>
        <v>868</v>
      </c>
      <c r="I208" s="20"/>
      <c r="K208" s="21">
        <f>E208/C208</f>
        <v>0.91993112354713735</v>
      </c>
      <c r="L208" s="21">
        <f>E208/D208</f>
        <v>1.04345703125</v>
      </c>
      <c r="N208" s="20">
        <f>SUM(N203:N207)</f>
        <v>7958</v>
      </c>
      <c r="O208" s="20">
        <f>SUM(O203:O207)</f>
        <v>5535</v>
      </c>
      <c r="P208" s="20">
        <f>SUM(P203:P207)</f>
        <v>4419</v>
      </c>
      <c r="Q208" s="20"/>
      <c r="R208" s="20"/>
      <c r="S208" s="20">
        <f>SUM(S203:S207)</f>
        <v>1646</v>
      </c>
      <c r="T208" s="20"/>
      <c r="V208" s="10">
        <f>SUM(V203:V207)</f>
        <v>155</v>
      </c>
      <c r="W208" s="10">
        <f>SUM(W203:W207)</f>
        <v>71</v>
      </c>
      <c r="X208" s="10">
        <f>SUM(X203:X207)</f>
        <v>31</v>
      </c>
      <c r="Z208" s="10">
        <f>SUM(Z203:Z207)</f>
        <v>7</v>
      </c>
      <c r="AB208" s="10">
        <f>SUM(AB203:AB207)</f>
        <v>122</v>
      </c>
      <c r="AC208" s="10">
        <f t="shared" si="130"/>
        <v>386</v>
      </c>
    </row>
    <row r="209" spans="1:29" x14ac:dyDescent="0.25">
      <c r="B209" t="s">
        <v>22</v>
      </c>
      <c r="C209" s="19"/>
      <c r="D209" s="19"/>
      <c r="E209" s="19"/>
      <c r="F209" s="19"/>
      <c r="G209" s="19"/>
      <c r="H209" s="19"/>
      <c r="I209" s="19"/>
      <c r="K209" s="19"/>
      <c r="N209" s="19">
        <v>126</v>
      </c>
      <c r="O209" s="19">
        <v>504</v>
      </c>
      <c r="P209" s="19">
        <v>175</v>
      </c>
      <c r="Q209" s="19"/>
      <c r="R209" s="19"/>
      <c r="S209" s="19">
        <v>233</v>
      </c>
      <c r="T209" s="19">
        <v>184</v>
      </c>
      <c r="V209">
        <v>0</v>
      </c>
      <c r="W209">
        <v>13</v>
      </c>
      <c r="X209">
        <v>1</v>
      </c>
      <c r="Z209">
        <v>6</v>
      </c>
      <c r="AA209">
        <v>1</v>
      </c>
      <c r="AB209">
        <v>11</v>
      </c>
      <c r="AC209">
        <f t="shared" si="130"/>
        <v>32</v>
      </c>
    </row>
    <row r="210" spans="1:29" x14ac:dyDescent="0.25">
      <c r="B210" t="s">
        <v>23</v>
      </c>
      <c r="C210" s="19"/>
      <c r="D210" s="19"/>
      <c r="E210" s="19"/>
      <c r="F210" s="19"/>
      <c r="G210" s="19"/>
      <c r="H210" s="19"/>
      <c r="I210" s="19"/>
      <c r="K210" s="19"/>
      <c r="N210" s="19">
        <v>109</v>
      </c>
      <c r="O210" s="19">
        <v>479</v>
      </c>
      <c r="P210" s="19">
        <v>149</v>
      </c>
      <c r="Q210" s="19"/>
      <c r="R210" s="19"/>
      <c r="S210" s="19">
        <v>354</v>
      </c>
      <c r="T210" s="19">
        <v>173</v>
      </c>
      <c r="V210">
        <v>1</v>
      </c>
      <c r="W210">
        <v>8</v>
      </c>
      <c r="X210">
        <v>0</v>
      </c>
      <c r="Z210">
        <v>3</v>
      </c>
      <c r="AA210">
        <v>1</v>
      </c>
      <c r="AB210">
        <v>9</v>
      </c>
      <c r="AC210">
        <f t="shared" si="130"/>
        <v>22</v>
      </c>
    </row>
    <row r="211" spans="1:29" x14ac:dyDescent="0.25">
      <c r="B211" t="s">
        <v>14</v>
      </c>
      <c r="C211" s="19">
        <f t="shared" ref="C211:I211" si="131">C208+C209+C210</f>
        <v>2323</v>
      </c>
      <c r="D211" s="19">
        <f t="shared" si="131"/>
        <v>2048</v>
      </c>
      <c r="E211" s="19">
        <f t="shared" si="131"/>
        <v>2137</v>
      </c>
      <c r="F211" s="19">
        <f t="shared" si="131"/>
        <v>603</v>
      </c>
      <c r="G211" s="19"/>
      <c r="H211" s="19">
        <f t="shared" si="131"/>
        <v>868</v>
      </c>
      <c r="I211" s="19">
        <f t="shared" si="131"/>
        <v>0</v>
      </c>
      <c r="K211" s="19"/>
      <c r="N211" s="69">
        <f>N208+N209+N210</f>
        <v>8193</v>
      </c>
      <c r="O211" s="69">
        <f>O208+O209+O210</f>
        <v>6518</v>
      </c>
      <c r="P211" s="69">
        <f>P208+P209+P210</f>
        <v>4743</v>
      </c>
      <c r="Q211" s="69"/>
      <c r="R211" s="69"/>
      <c r="S211" s="69">
        <f>S208+S209+S210</f>
        <v>2233</v>
      </c>
      <c r="T211" s="69">
        <f>T208+T209+T210</f>
        <v>357</v>
      </c>
      <c r="V211" s="69">
        <f t="shared" ref="V211:AB211" si="132">V208+V209+V210</f>
        <v>156</v>
      </c>
      <c r="W211" s="69">
        <f t="shared" si="132"/>
        <v>92</v>
      </c>
      <c r="X211" s="69">
        <f t="shared" si="132"/>
        <v>32</v>
      </c>
      <c r="Y211" s="69"/>
      <c r="Z211" s="69">
        <f t="shared" si="132"/>
        <v>16</v>
      </c>
      <c r="AA211" s="69">
        <f t="shared" si="132"/>
        <v>2</v>
      </c>
      <c r="AB211" s="69">
        <f t="shared" si="132"/>
        <v>142</v>
      </c>
      <c r="AC211">
        <f t="shared" si="130"/>
        <v>440</v>
      </c>
    </row>
    <row r="212" spans="1:29" x14ac:dyDescent="0.25">
      <c r="B212" t="s">
        <v>74</v>
      </c>
      <c r="C212" s="19"/>
      <c r="D212" s="19"/>
      <c r="E212" s="19"/>
      <c r="F212" s="19"/>
      <c r="G212" s="19"/>
      <c r="H212" s="19"/>
      <c r="I212" s="19"/>
      <c r="K212" s="19"/>
      <c r="N212" s="11">
        <f>N211/(SUM($N211:$T211))</f>
        <v>0.37166575939031027</v>
      </c>
      <c r="O212" s="11">
        <f>O211/(SUM($N211:$T211))</f>
        <v>0.29568136454363997</v>
      </c>
      <c r="P212" s="11">
        <f>P211/(SUM($N211:$T211))</f>
        <v>0.21516058791507894</v>
      </c>
      <c r="Q212" s="11"/>
      <c r="R212" s="11"/>
      <c r="S212" s="11">
        <f>S211/(SUM($N211:$T211))</f>
        <v>0.10129740518962076</v>
      </c>
      <c r="T212" s="11">
        <f>T211/(SUM($N211:$T211))</f>
        <v>1.6194882961350028E-2</v>
      </c>
      <c r="V212" s="11">
        <f t="shared" ref="V212:AB212" si="133">V211/(SUM($V211:$AB211))</f>
        <v>0.35454545454545455</v>
      </c>
      <c r="W212" s="11">
        <f t="shared" si="133"/>
        <v>0.20909090909090908</v>
      </c>
      <c r="X212" s="11">
        <f t="shared" si="133"/>
        <v>7.2727272727272724E-2</v>
      </c>
      <c r="Y212" s="11">
        <f t="shared" si="133"/>
        <v>0</v>
      </c>
      <c r="Z212" s="11">
        <f t="shared" si="133"/>
        <v>3.6363636363636362E-2</v>
      </c>
      <c r="AA212" s="11">
        <f t="shared" si="133"/>
        <v>4.5454545454545452E-3</v>
      </c>
      <c r="AB212" s="11">
        <f t="shared" si="133"/>
        <v>0.32272727272727275</v>
      </c>
    </row>
    <row r="213" spans="1:29" x14ac:dyDescent="0.25">
      <c r="A213">
        <v>2004</v>
      </c>
      <c r="B213" t="s">
        <v>17</v>
      </c>
      <c r="C213" s="19"/>
      <c r="D213" s="19"/>
      <c r="E213" s="19"/>
      <c r="F213" s="19"/>
      <c r="G213" s="19"/>
      <c r="H213" s="19"/>
      <c r="I213" s="19"/>
      <c r="K213" s="19"/>
      <c r="N213" s="19"/>
      <c r="O213" s="19"/>
      <c r="P213" s="19"/>
      <c r="Q213" s="19"/>
      <c r="R213" s="19"/>
      <c r="S213" s="19"/>
      <c r="T213" s="19"/>
    </row>
    <row r="214" spans="1:29" x14ac:dyDescent="0.25">
      <c r="B214" t="s">
        <v>18</v>
      </c>
      <c r="C214" s="19">
        <v>1983</v>
      </c>
      <c r="D214" s="19">
        <v>2386</v>
      </c>
      <c r="E214" s="19">
        <v>1771</v>
      </c>
      <c r="F214" s="19">
        <v>335</v>
      </c>
      <c r="G214" s="19"/>
      <c r="H214" s="19">
        <f>246+559</f>
        <v>805</v>
      </c>
      <c r="I214" s="19"/>
      <c r="K214" s="19"/>
      <c r="N214" s="19">
        <v>547</v>
      </c>
      <c r="O214" s="19">
        <v>1182</v>
      </c>
      <c r="P214" s="19">
        <v>595</v>
      </c>
      <c r="Q214" s="19"/>
      <c r="R214" s="19"/>
      <c r="S214" s="19">
        <v>121</v>
      </c>
      <c r="T214" s="19"/>
      <c r="V214" s="13">
        <v>4</v>
      </c>
      <c r="W214" s="13">
        <v>16</v>
      </c>
      <c r="X214" s="13">
        <v>3</v>
      </c>
      <c r="Y214" s="13"/>
      <c r="Z214" s="13">
        <v>0</v>
      </c>
      <c r="AA214" s="13"/>
      <c r="AB214" s="13">
        <v>13</v>
      </c>
      <c r="AC214">
        <f>SUM(V214:AB214)</f>
        <v>36</v>
      </c>
    </row>
    <row r="215" spans="1:29" x14ac:dyDescent="0.25">
      <c r="B215" t="s">
        <v>19</v>
      </c>
      <c r="C215" s="19">
        <v>517</v>
      </c>
      <c r="D215" s="19">
        <v>603</v>
      </c>
      <c r="E215" s="19">
        <v>419</v>
      </c>
      <c r="F215" s="19">
        <v>60</v>
      </c>
      <c r="G215" s="19"/>
      <c r="H215" s="19">
        <f>115+162</f>
        <v>277</v>
      </c>
      <c r="I215" s="19"/>
      <c r="K215" s="19"/>
      <c r="N215" s="19"/>
      <c r="O215" s="19"/>
      <c r="P215" s="19"/>
      <c r="Q215" s="19"/>
      <c r="R215" s="19"/>
      <c r="S215" s="19"/>
      <c r="T215" s="19"/>
    </row>
    <row r="216" spans="1:29" x14ac:dyDescent="0.25">
      <c r="B216" t="s">
        <v>20</v>
      </c>
      <c r="C216" s="19"/>
      <c r="D216" s="19"/>
      <c r="E216" s="19"/>
      <c r="F216" s="19"/>
      <c r="G216" s="19"/>
      <c r="H216" s="19"/>
      <c r="I216" s="19"/>
      <c r="K216" s="19"/>
      <c r="N216" s="19"/>
      <c r="O216" s="19"/>
      <c r="P216" s="19"/>
      <c r="Q216" s="19"/>
      <c r="R216" s="19"/>
      <c r="S216" s="19"/>
      <c r="T216" s="19"/>
    </row>
    <row r="217" spans="1:29" x14ac:dyDescent="0.25">
      <c r="B217" t="s">
        <v>21</v>
      </c>
      <c r="C217" s="19">
        <v>1667</v>
      </c>
      <c r="D217" s="19">
        <v>1404</v>
      </c>
      <c r="E217" s="19">
        <v>1280</v>
      </c>
      <c r="F217" s="19">
        <v>300</v>
      </c>
      <c r="G217" s="19"/>
      <c r="H217" s="19">
        <f>206+344</f>
        <v>550</v>
      </c>
      <c r="I217" s="19"/>
      <c r="K217" s="19"/>
      <c r="N217" s="19"/>
      <c r="O217" s="19"/>
      <c r="P217" s="19"/>
      <c r="Q217" s="19"/>
      <c r="R217" s="19"/>
      <c r="S217" s="19"/>
      <c r="T217" s="19"/>
      <c r="U217" t="s">
        <v>38</v>
      </c>
      <c r="V217">
        <v>120</v>
      </c>
      <c r="W217">
        <v>35</v>
      </c>
      <c r="X217">
        <v>24</v>
      </c>
      <c r="Z217">
        <v>0</v>
      </c>
      <c r="AB217">
        <v>97</v>
      </c>
      <c r="AC217">
        <f>SUM(V217:AB217)</f>
        <v>276</v>
      </c>
    </row>
    <row r="218" spans="1:29" s="10" customFormat="1" x14ac:dyDescent="0.25">
      <c r="B218" s="10" t="s">
        <v>24</v>
      </c>
      <c r="C218" s="20">
        <f>SUM(C213:C217)</f>
        <v>4167</v>
      </c>
      <c r="D218" s="20">
        <f>SUM(D213:D217)</f>
        <v>4393</v>
      </c>
      <c r="E218" s="20">
        <f>SUM(E213:E217)</f>
        <v>3470</v>
      </c>
      <c r="F218" s="20">
        <f>SUM(F213:F217)</f>
        <v>695</v>
      </c>
      <c r="G218" s="20"/>
      <c r="H218" s="20">
        <f>SUM(H213:H217)</f>
        <v>1632</v>
      </c>
      <c r="I218" s="20"/>
      <c r="K218" s="21">
        <f>E218/C218</f>
        <v>0.83273338132949359</v>
      </c>
      <c r="L218" s="21">
        <f>E218/D218</f>
        <v>0.78989301160937853</v>
      </c>
      <c r="N218" s="20">
        <f>SUM(N213:N217)</f>
        <v>547</v>
      </c>
      <c r="O218" s="20">
        <f>SUM(O213:O217)</f>
        <v>1182</v>
      </c>
      <c r="P218" s="20">
        <f>SUM(P213:P217)</f>
        <v>595</v>
      </c>
      <c r="Q218" s="20"/>
      <c r="R218" s="20"/>
      <c r="S218" s="20">
        <f>SUM(S213:S217)</f>
        <v>121</v>
      </c>
      <c r="T218" s="20"/>
      <c r="V218" s="10">
        <f>SUM(V213:V217)</f>
        <v>124</v>
      </c>
      <c r="W218" s="10">
        <f>SUM(W213:W217)</f>
        <v>51</v>
      </c>
      <c r="X218" s="10">
        <f>SUM(X213:X217)</f>
        <v>27</v>
      </c>
      <c r="Z218" s="10">
        <f>SUM(Z213:Z217)</f>
        <v>0</v>
      </c>
      <c r="AB218" s="10">
        <f>SUM(AB213:AB217)</f>
        <v>110</v>
      </c>
    </row>
    <row r="219" spans="1:29" x14ac:dyDescent="0.25">
      <c r="B219" t="s">
        <v>22</v>
      </c>
      <c r="C219" s="19"/>
      <c r="D219" s="19"/>
      <c r="E219" s="19"/>
      <c r="F219" s="19"/>
      <c r="G219" s="19"/>
      <c r="H219" s="19"/>
      <c r="I219" s="19"/>
      <c r="K219" s="19"/>
      <c r="N219" s="19"/>
      <c r="O219" s="19"/>
      <c r="P219" s="19"/>
      <c r="Q219" s="19"/>
      <c r="R219" s="19"/>
      <c r="S219" s="19"/>
      <c r="T219" s="19"/>
    </row>
    <row r="220" spans="1:29" x14ac:dyDescent="0.25">
      <c r="B220" t="s">
        <v>23</v>
      </c>
      <c r="C220" s="19">
        <v>349</v>
      </c>
      <c r="D220" s="19">
        <v>933</v>
      </c>
      <c r="E220" s="19">
        <v>424</v>
      </c>
      <c r="F220" s="19">
        <v>65</v>
      </c>
      <c r="G220" s="19"/>
      <c r="H220" s="19">
        <f>550+144</f>
        <v>694</v>
      </c>
      <c r="I220" s="19">
        <v>547</v>
      </c>
      <c r="K220" s="19"/>
      <c r="N220" s="19"/>
      <c r="O220" s="19"/>
      <c r="P220" s="19"/>
      <c r="Q220" s="19"/>
      <c r="R220" s="19"/>
      <c r="S220" s="19"/>
      <c r="T220" s="19"/>
    </row>
    <row r="221" spans="1:29" x14ac:dyDescent="0.25">
      <c r="B221" t="s">
        <v>14</v>
      </c>
      <c r="C221" s="19">
        <f t="shared" ref="C221:I221" si="134">C218+C219+C220</f>
        <v>4516</v>
      </c>
      <c r="D221" s="19">
        <f t="shared" si="134"/>
        <v>5326</v>
      </c>
      <c r="E221" s="19">
        <f t="shared" si="134"/>
        <v>3894</v>
      </c>
      <c r="F221" s="19">
        <f t="shared" si="134"/>
        <v>760</v>
      </c>
      <c r="G221" s="19"/>
      <c r="H221" s="19">
        <f t="shared" si="134"/>
        <v>2326</v>
      </c>
      <c r="I221" s="19">
        <f t="shared" si="134"/>
        <v>547</v>
      </c>
      <c r="K221" s="19"/>
      <c r="N221" s="19">
        <v>8033</v>
      </c>
      <c r="O221" s="19">
        <v>6652</v>
      </c>
      <c r="P221" s="19">
        <v>4708</v>
      </c>
      <c r="Q221" s="19"/>
      <c r="R221" s="19"/>
      <c r="S221" s="19">
        <v>2201</v>
      </c>
      <c r="T221" s="19">
        <v>361</v>
      </c>
      <c r="V221" s="17"/>
      <c r="W221" s="17"/>
      <c r="X221" s="17"/>
      <c r="Y221" s="17"/>
      <c r="Z221" s="17"/>
      <c r="AA221" s="17"/>
      <c r="AB221" s="17"/>
    </row>
    <row r="222" spans="1:29" x14ac:dyDescent="0.25">
      <c r="B222" t="s">
        <v>74</v>
      </c>
      <c r="C222" s="19"/>
      <c r="D222" s="19"/>
      <c r="E222" s="19"/>
      <c r="F222" s="19"/>
      <c r="G222" s="19"/>
      <c r="H222" s="19"/>
      <c r="I222" s="19"/>
      <c r="K222" s="19"/>
      <c r="N222" s="11">
        <f>N221/(SUM($N221:$T221))</f>
        <v>0.36588476429059441</v>
      </c>
      <c r="O222" s="11">
        <f>O221/(SUM($N221:$T221))</f>
        <v>0.30298337508540196</v>
      </c>
      <c r="P222" s="11">
        <f>P221/(SUM($N221:$T221))</f>
        <v>0.21443862445912093</v>
      </c>
      <c r="Q222" s="11"/>
      <c r="R222" s="11"/>
      <c r="S222" s="11">
        <f>S221/(SUM($N221:$T221))</f>
        <v>0.10025051241175131</v>
      </c>
      <c r="T222" s="11">
        <f>T221/(SUM($N221:$T221))</f>
        <v>1.6442723753131404E-2</v>
      </c>
    </row>
    <row r="223" spans="1:29" x14ac:dyDescent="0.25">
      <c r="A223">
        <v>2003</v>
      </c>
      <c r="B223" t="s">
        <v>17</v>
      </c>
      <c r="C223" s="19"/>
      <c r="D223" s="19"/>
      <c r="E223" s="19"/>
      <c r="F223" s="19"/>
      <c r="G223" s="19"/>
      <c r="H223" s="19"/>
      <c r="I223" s="19"/>
      <c r="K223" s="19"/>
      <c r="N223" s="19"/>
      <c r="O223" s="19"/>
      <c r="P223" s="19"/>
      <c r="Q223" s="19"/>
      <c r="R223" s="19"/>
      <c r="S223" s="19"/>
      <c r="T223" s="19"/>
    </row>
    <row r="224" spans="1:29" x14ac:dyDescent="0.25">
      <c r="B224" t="s">
        <v>18</v>
      </c>
      <c r="C224" s="19">
        <v>785</v>
      </c>
      <c r="D224" s="19">
        <v>833</v>
      </c>
      <c r="E224" s="19">
        <v>701</v>
      </c>
      <c r="F224" s="19">
        <v>214</v>
      </c>
      <c r="G224" s="19"/>
      <c r="H224" s="19">
        <f>82+304</f>
        <v>386</v>
      </c>
      <c r="I224" s="19"/>
      <c r="K224" s="19"/>
      <c r="N224" s="19">
        <v>471</v>
      </c>
      <c r="O224" s="19">
        <v>1419</v>
      </c>
      <c r="P224" s="19">
        <v>517</v>
      </c>
      <c r="Q224" s="19"/>
      <c r="R224" s="19"/>
      <c r="S224" s="19">
        <v>71</v>
      </c>
      <c r="T224" s="19"/>
      <c r="V224">
        <v>1</v>
      </c>
      <c r="W224">
        <v>21</v>
      </c>
      <c r="X224">
        <v>2</v>
      </c>
      <c r="Z224">
        <v>0</v>
      </c>
      <c r="AB224">
        <v>12</v>
      </c>
      <c r="AC224">
        <f>SUM(V224:AB224)</f>
        <v>36</v>
      </c>
    </row>
    <row r="225" spans="1:29" x14ac:dyDescent="0.25">
      <c r="B225" t="s">
        <v>19</v>
      </c>
      <c r="C225" s="19">
        <v>1463</v>
      </c>
      <c r="D225" s="19">
        <v>1303</v>
      </c>
      <c r="E225" s="19">
        <v>1318</v>
      </c>
      <c r="F225" s="19">
        <v>207</v>
      </c>
      <c r="G225" s="19"/>
      <c r="H225" s="19">
        <f>307+238</f>
        <v>545</v>
      </c>
      <c r="I225" s="19"/>
      <c r="K225" s="19"/>
      <c r="N225" s="19"/>
      <c r="O225" s="19"/>
      <c r="P225" s="19"/>
      <c r="Q225" s="19"/>
      <c r="R225" s="19"/>
      <c r="S225" s="19"/>
      <c r="T225" s="19"/>
    </row>
    <row r="226" spans="1:29" x14ac:dyDescent="0.25">
      <c r="B226" t="s">
        <v>20</v>
      </c>
      <c r="C226" s="19"/>
      <c r="D226" s="19"/>
      <c r="E226" s="19"/>
      <c r="F226" s="19"/>
      <c r="G226" s="19"/>
      <c r="H226" s="19"/>
      <c r="I226" s="19"/>
      <c r="K226" s="19"/>
      <c r="N226" s="19"/>
      <c r="O226" s="19"/>
      <c r="P226" s="19"/>
      <c r="Q226" s="19"/>
      <c r="R226" s="19"/>
      <c r="S226" s="19"/>
      <c r="T226" s="19"/>
    </row>
    <row r="227" spans="1:29" x14ac:dyDescent="0.25">
      <c r="B227" t="s">
        <v>21</v>
      </c>
      <c r="C227" s="19">
        <v>6446</v>
      </c>
      <c r="D227" s="19">
        <v>4698</v>
      </c>
      <c r="E227" s="19">
        <v>4582</v>
      </c>
      <c r="F227" s="19">
        <v>571</v>
      </c>
      <c r="G227" s="19"/>
      <c r="H227" s="19">
        <f>1529+733</f>
        <v>2262</v>
      </c>
      <c r="I227" s="19"/>
      <c r="K227" s="19"/>
      <c r="N227" s="19"/>
      <c r="O227" s="19"/>
      <c r="P227" s="19"/>
      <c r="Q227" s="19"/>
      <c r="R227" s="19"/>
      <c r="S227" s="19"/>
      <c r="T227" s="19"/>
      <c r="U227" t="s">
        <v>38</v>
      </c>
      <c r="V227">
        <v>111</v>
      </c>
      <c r="W227">
        <v>39</v>
      </c>
      <c r="X227">
        <v>26</v>
      </c>
      <c r="Z227">
        <v>0</v>
      </c>
      <c r="AB227">
        <v>100</v>
      </c>
      <c r="AC227">
        <f>SUM(V227:AB227)</f>
        <v>276</v>
      </c>
    </row>
    <row r="228" spans="1:29" s="10" customFormat="1" x14ac:dyDescent="0.25">
      <c r="B228" s="10" t="s">
        <v>24</v>
      </c>
      <c r="C228" s="20">
        <f>SUM(C223:C227)</f>
        <v>8694</v>
      </c>
      <c r="D228" s="20">
        <f>SUM(D223:D227)</f>
        <v>6834</v>
      </c>
      <c r="E228" s="20">
        <f>SUM(E223:E227)</f>
        <v>6601</v>
      </c>
      <c r="F228" s="20">
        <f>SUM(F223:F227)</f>
        <v>992</v>
      </c>
      <c r="G228" s="20"/>
      <c r="H228" s="20">
        <f>SUM(H223:H227)</f>
        <v>3193</v>
      </c>
      <c r="I228" s="20"/>
      <c r="K228" s="21">
        <f>E228/C228</f>
        <v>0.7592592592592593</v>
      </c>
      <c r="L228" s="21">
        <f>E228/D228</f>
        <v>0.9659057652911911</v>
      </c>
      <c r="N228" s="20">
        <f>SUM(N223:N227)</f>
        <v>471</v>
      </c>
      <c r="O228" s="20">
        <f>SUM(O223:O227)</f>
        <v>1419</v>
      </c>
      <c r="P228" s="20">
        <f>SUM(P223:P227)</f>
        <v>517</v>
      </c>
      <c r="Q228" s="20"/>
      <c r="R228" s="20"/>
      <c r="S228" s="20">
        <f>SUM(S223:S227)</f>
        <v>71</v>
      </c>
      <c r="T228" s="20"/>
      <c r="V228" s="10">
        <f>SUM(V223:V227)</f>
        <v>112</v>
      </c>
      <c r="W228" s="10">
        <f>SUM(W223:W227)</f>
        <v>60</v>
      </c>
      <c r="X228" s="10">
        <f>SUM(X223:X227)</f>
        <v>28</v>
      </c>
      <c r="Z228" s="10">
        <f>SUM(Z223:Z227)</f>
        <v>0</v>
      </c>
      <c r="AB228" s="10">
        <f>SUM(AB223:AB227)</f>
        <v>112</v>
      </c>
    </row>
    <row r="229" spans="1:29" x14ac:dyDescent="0.25">
      <c r="B229" t="s">
        <v>22</v>
      </c>
      <c r="C229" s="19">
        <v>798</v>
      </c>
      <c r="D229" s="19">
        <v>920</v>
      </c>
      <c r="E229" s="19">
        <v>675</v>
      </c>
      <c r="F229" s="19">
        <v>1</v>
      </c>
      <c r="G229" s="19"/>
      <c r="H229" s="19">
        <f>379+327</f>
        <v>706</v>
      </c>
      <c r="I229" s="19">
        <v>968</v>
      </c>
      <c r="K229" s="19"/>
      <c r="N229" s="19"/>
      <c r="O229" s="19"/>
      <c r="P229" s="19"/>
      <c r="Q229" s="19"/>
      <c r="R229" s="19"/>
      <c r="S229" s="19"/>
      <c r="T229" s="19"/>
    </row>
    <row r="230" spans="1:29" x14ac:dyDescent="0.25">
      <c r="B230" t="s">
        <v>23</v>
      </c>
      <c r="C230" s="19"/>
      <c r="D230" s="19"/>
      <c r="E230" s="19"/>
      <c r="F230" s="19"/>
      <c r="G230" s="19"/>
      <c r="H230" s="19"/>
      <c r="I230" s="19"/>
      <c r="K230" s="19"/>
      <c r="N230" s="19"/>
      <c r="O230" s="19"/>
      <c r="P230" s="19"/>
      <c r="Q230" s="19"/>
      <c r="R230" s="19"/>
      <c r="S230" s="19"/>
      <c r="T230" s="19"/>
    </row>
    <row r="231" spans="1:29" x14ac:dyDescent="0.25">
      <c r="B231" t="s">
        <v>14</v>
      </c>
      <c r="C231" s="19">
        <f t="shared" ref="C231:I231" si="135">C228+C229+C230</f>
        <v>9492</v>
      </c>
      <c r="D231" s="19">
        <f t="shared" si="135"/>
        <v>7754</v>
      </c>
      <c r="E231" s="19">
        <f t="shared" si="135"/>
        <v>7276</v>
      </c>
      <c r="F231" s="19">
        <f t="shared" si="135"/>
        <v>993</v>
      </c>
      <c r="G231" s="19"/>
      <c r="H231" s="19">
        <f t="shared" si="135"/>
        <v>3899</v>
      </c>
      <c r="I231" s="19">
        <f t="shared" si="135"/>
        <v>968</v>
      </c>
      <c r="K231" s="19"/>
      <c r="N231" s="19">
        <v>7773</v>
      </c>
      <c r="O231" s="19">
        <v>7175</v>
      </c>
      <c r="P231" s="19">
        <v>4581</v>
      </c>
      <c r="Q231" s="19"/>
      <c r="R231" s="19"/>
      <c r="S231" s="19">
        <v>2101</v>
      </c>
      <c r="T231" s="19">
        <v>383</v>
      </c>
      <c r="V231" s="17"/>
      <c r="W231" s="17"/>
      <c r="X231" s="17"/>
      <c r="Y231" s="17"/>
      <c r="Z231" s="17"/>
      <c r="AA231" s="17"/>
      <c r="AB231" s="17"/>
    </row>
    <row r="232" spans="1:29" x14ac:dyDescent="0.25">
      <c r="B232" t="s">
        <v>74</v>
      </c>
      <c r="C232" s="19" t="s">
        <v>29</v>
      </c>
      <c r="D232" s="19" t="s">
        <v>30</v>
      </c>
      <c r="E232" s="19" t="s">
        <v>31</v>
      </c>
      <c r="F232" s="19"/>
      <c r="G232" s="19"/>
      <c r="H232" s="19"/>
      <c r="I232" s="19" t="s">
        <v>32</v>
      </c>
      <c r="K232" s="19"/>
      <c r="N232" s="11">
        <f>N231/(SUM($N231:$T231))</f>
        <v>0.3531095261890701</v>
      </c>
      <c r="O232" s="11">
        <f>O231/(SUM($N231:$T231))</f>
        <v>0.32594376050515605</v>
      </c>
      <c r="P232" s="11">
        <f>P231/(SUM($N231:$T231))</f>
        <v>0.20810430200336166</v>
      </c>
      <c r="Q232" s="11"/>
      <c r="R232" s="11"/>
      <c r="S232" s="11">
        <f>S231/(SUM($N231:$T231))</f>
        <v>9.5443601508199694E-2</v>
      </c>
      <c r="T232" s="11">
        <f>T231/(SUM($N231:$T231))</f>
        <v>1.7398809794212509E-2</v>
      </c>
    </row>
    <row r="233" spans="1:29" x14ac:dyDescent="0.25">
      <c r="A233">
        <v>2002</v>
      </c>
      <c r="B233" t="s">
        <v>17</v>
      </c>
      <c r="C233" s="19">
        <v>1769</v>
      </c>
      <c r="D233" s="19">
        <v>1858</v>
      </c>
      <c r="E233" s="19">
        <v>1478</v>
      </c>
      <c r="F233" s="19">
        <v>523</v>
      </c>
      <c r="G233" s="19"/>
      <c r="H233" s="19">
        <f>94+371</f>
        <v>465</v>
      </c>
      <c r="I233" s="19"/>
      <c r="K233" s="19"/>
      <c r="N233" s="19"/>
      <c r="O233" s="19"/>
      <c r="P233" s="19"/>
      <c r="Q233" s="19"/>
      <c r="R233" s="19"/>
      <c r="S233" s="19"/>
      <c r="T233" s="19"/>
    </row>
    <row r="234" spans="1:29" x14ac:dyDescent="0.25">
      <c r="B234" t="s">
        <v>18</v>
      </c>
      <c r="C234" s="19">
        <v>777</v>
      </c>
      <c r="D234" s="19">
        <v>836</v>
      </c>
      <c r="E234" s="19">
        <v>706</v>
      </c>
      <c r="F234" s="19">
        <v>208</v>
      </c>
      <c r="G234" s="19"/>
      <c r="H234" s="19">
        <f>111+240</f>
        <v>351</v>
      </c>
      <c r="I234" s="19"/>
      <c r="K234" s="19"/>
      <c r="N234" s="19">
        <v>431</v>
      </c>
      <c r="O234" s="19">
        <v>1486</v>
      </c>
      <c r="P234" s="19">
        <v>497</v>
      </c>
      <c r="Q234" s="19"/>
      <c r="R234" s="19"/>
      <c r="S234" s="19">
        <v>64</v>
      </c>
      <c r="T234" s="19"/>
      <c r="V234">
        <v>1</v>
      </c>
      <c r="W234">
        <v>25</v>
      </c>
      <c r="X234">
        <v>2</v>
      </c>
      <c r="Z234">
        <v>0</v>
      </c>
      <c r="AB234">
        <v>8</v>
      </c>
      <c r="AC234">
        <f>SUM(V234:AB234)</f>
        <v>36</v>
      </c>
    </row>
    <row r="235" spans="1:29" x14ac:dyDescent="0.25">
      <c r="B235" t="s">
        <v>19</v>
      </c>
      <c r="C235" s="19">
        <v>442</v>
      </c>
      <c r="D235" s="19">
        <v>514</v>
      </c>
      <c r="E235" s="19">
        <v>443</v>
      </c>
      <c r="F235" s="19">
        <v>62</v>
      </c>
      <c r="G235" s="19"/>
      <c r="H235" s="19">
        <f>95+70</f>
        <v>165</v>
      </c>
      <c r="I235" s="19"/>
      <c r="K235" s="19"/>
      <c r="N235" s="19"/>
      <c r="O235" s="19"/>
      <c r="P235" s="19"/>
      <c r="Q235" s="19"/>
      <c r="R235" s="19"/>
      <c r="S235" s="19"/>
      <c r="T235" s="19"/>
    </row>
    <row r="236" spans="1:29" x14ac:dyDescent="0.25">
      <c r="B236" t="s">
        <v>20</v>
      </c>
      <c r="C236" s="19"/>
      <c r="D236" s="19"/>
      <c r="E236" s="19"/>
      <c r="F236" s="19"/>
      <c r="G236" s="19"/>
      <c r="H236" s="19"/>
      <c r="I236" s="19"/>
      <c r="K236" s="19"/>
      <c r="N236" s="19"/>
      <c r="O236" s="19"/>
      <c r="P236" s="19"/>
      <c r="Q236" s="19"/>
      <c r="R236" s="19"/>
      <c r="S236" s="19"/>
      <c r="T236" s="19"/>
    </row>
    <row r="237" spans="1:29" x14ac:dyDescent="0.25">
      <c r="B237" t="s">
        <v>21</v>
      </c>
      <c r="C237" s="19">
        <v>2507</v>
      </c>
      <c r="D237" s="19">
        <v>2135</v>
      </c>
      <c r="E237" s="19">
        <v>1809</v>
      </c>
      <c r="F237" s="19">
        <v>289</v>
      </c>
      <c r="G237" s="19"/>
      <c r="H237" s="19">
        <f>284+195</f>
        <v>479</v>
      </c>
      <c r="I237" s="19"/>
      <c r="K237" s="19"/>
      <c r="N237" s="19"/>
      <c r="O237" s="19"/>
      <c r="P237" s="19"/>
      <c r="Q237" s="19"/>
      <c r="R237" s="19"/>
      <c r="S237" s="19"/>
      <c r="T237" s="19"/>
      <c r="U237" t="s">
        <v>38</v>
      </c>
      <c r="V237">
        <v>83</v>
      </c>
      <c r="W237">
        <v>67</v>
      </c>
      <c r="X237">
        <v>22</v>
      </c>
      <c r="Z237">
        <v>0</v>
      </c>
      <c r="AB237">
        <v>100</v>
      </c>
      <c r="AC237">
        <f>SUM(V237:AB237)</f>
        <v>272</v>
      </c>
    </row>
    <row r="238" spans="1:29" s="10" customFormat="1" x14ac:dyDescent="0.25">
      <c r="B238" s="10" t="s">
        <v>24</v>
      </c>
      <c r="C238" s="20">
        <f>SUM(C233:C237)</f>
        <v>5495</v>
      </c>
      <c r="D238" s="20">
        <f>SUM(D233:D237)</f>
        <v>5343</v>
      </c>
      <c r="E238" s="20">
        <f>SUM(E233:E237)</f>
        <v>4436</v>
      </c>
      <c r="F238" s="20">
        <f>SUM(F233:F237)</f>
        <v>1082</v>
      </c>
      <c r="G238" s="20"/>
      <c r="H238" s="20">
        <f>SUM(H233:H237)</f>
        <v>1460</v>
      </c>
      <c r="I238" s="20"/>
      <c r="K238" s="21">
        <f>E238/C238</f>
        <v>0.80727934485896269</v>
      </c>
      <c r="L238" s="21">
        <f>E238/D238</f>
        <v>0.83024518061014407</v>
      </c>
      <c r="N238" s="20">
        <f>SUM(N233:N237)</f>
        <v>431</v>
      </c>
      <c r="O238" s="20">
        <f>SUM(O233:O237)</f>
        <v>1486</v>
      </c>
      <c r="P238" s="20">
        <f>SUM(P233:P237)</f>
        <v>497</v>
      </c>
      <c r="Q238" s="20"/>
      <c r="R238" s="20"/>
      <c r="S238" s="20">
        <f>SUM(S233:S237)</f>
        <v>64</v>
      </c>
      <c r="T238" s="20"/>
      <c r="V238" s="10">
        <f>SUM(V233:V237)</f>
        <v>84</v>
      </c>
      <c r="W238" s="10">
        <f>SUM(W233:W237)</f>
        <v>92</v>
      </c>
      <c r="X238" s="10">
        <f>SUM(X233:X237)</f>
        <v>24</v>
      </c>
      <c r="Z238" s="10">
        <f>SUM(Z233:Z237)</f>
        <v>0</v>
      </c>
      <c r="AB238" s="10">
        <f>SUM(AB233:AB237)</f>
        <v>108</v>
      </c>
    </row>
    <row r="239" spans="1:29" x14ac:dyDescent="0.25">
      <c r="B239" t="s">
        <v>22</v>
      </c>
      <c r="C239" s="19"/>
      <c r="D239" s="19"/>
      <c r="E239" s="19"/>
      <c r="F239" s="19"/>
      <c r="G239" s="19"/>
      <c r="H239" s="19"/>
      <c r="I239" s="19"/>
      <c r="K239" s="19"/>
      <c r="N239" s="19"/>
      <c r="O239" s="19"/>
      <c r="P239" s="19"/>
      <c r="Q239" s="19"/>
      <c r="R239" s="19"/>
      <c r="S239" s="19"/>
      <c r="T239" s="19"/>
    </row>
    <row r="240" spans="1:29" x14ac:dyDescent="0.25">
      <c r="B240" t="s">
        <v>23</v>
      </c>
      <c r="C240" s="19"/>
      <c r="D240" s="19"/>
      <c r="E240" s="19"/>
      <c r="F240" s="19"/>
      <c r="G240" s="19"/>
      <c r="H240" s="19"/>
      <c r="I240" s="19"/>
      <c r="K240" s="19"/>
      <c r="N240" s="19"/>
      <c r="O240" s="19"/>
      <c r="P240" s="19"/>
      <c r="Q240" s="19"/>
      <c r="R240" s="19"/>
      <c r="S240" s="19"/>
      <c r="T240" s="19"/>
    </row>
    <row r="241" spans="1:29" x14ac:dyDescent="0.25">
      <c r="B241" t="s">
        <v>14</v>
      </c>
      <c r="C241" s="19">
        <f t="shared" ref="C241:I241" si="136">C238+C239+C240</f>
        <v>5495</v>
      </c>
      <c r="D241" s="19">
        <f t="shared" si="136"/>
        <v>5343</v>
      </c>
      <c r="E241" s="19">
        <f t="shared" si="136"/>
        <v>4436</v>
      </c>
      <c r="F241" s="19">
        <f t="shared" si="136"/>
        <v>1082</v>
      </c>
      <c r="G241" s="19"/>
      <c r="H241" s="19">
        <f t="shared" si="136"/>
        <v>1460</v>
      </c>
      <c r="I241" s="19">
        <f t="shared" si="136"/>
        <v>0</v>
      </c>
      <c r="K241" s="19"/>
      <c r="N241" s="19">
        <v>7177</v>
      </c>
      <c r="O241" s="19">
        <v>8117</v>
      </c>
      <c r="P241" s="19">
        <v>4379</v>
      </c>
      <c r="Q241" s="19"/>
      <c r="R241" s="19"/>
      <c r="S241" s="19">
        <v>2069</v>
      </c>
      <c r="T241" s="19">
        <v>412</v>
      </c>
      <c r="V241" s="17"/>
      <c r="W241" s="17"/>
      <c r="X241" s="17"/>
      <c r="Y241" s="17"/>
      <c r="Z241" s="17"/>
      <c r="AA241" s="17"/>
      <c r="AB241" s="17"/>
    </row>
    <row r="242" spans="1:29" x14ac:dyDescent="0.25">
      <c r="B242" t="s">
        <v>74</v>
      </c>
      <c r="C242" s="19"/>
      <c r="D242" s="19"/>
      <c r="E242" s="19"/>
      <c r="F242" s="19"/>
      <c r="G242" s="19"/>
      <c r="H242" s="19"/>
      <c r="I242" s="19"/>
      <c r="K242" s="19"/>
      <c r="N242" s="11">
        <f>N241/(SUM($N241:$T241))</f>
        <v>0.32395955583641778</v>
      </c>
      <c r="O242" s="11">
        <f>O241/(SUM($N241:$T241))</f>
        <v>0.36638981673738374</v>
      </c>
      <c r="P242" s="11">
        <f>P241/(SUM($N241:$T241))</f>
        <v>0.1976618217929042</v>
      </c>
      <c r="Q242" s="11"/>
      <c r="R242" s="11"/>
      <c r="S242" s="11">
        <f>S241/(SUM($N241:$T241))</f>
        <v>9.3391712557551687E-2</v>
      </c>
      <c r="T242" s="11">
        <f>T241/(SUM($N241:$T241))</f>
        <v>1.8597093075742529E-2</v>
      </c>
    </row>
    <row r="243" spans="1:29" x14ac:dyDescent="0.25">
      <c r="A243">
        <v>2001</v>
      </c>
      <c r="B243" t="s">
        <v>17</v>
      </c>
      <c r="C243" s="19"/>
      <c r="D243" s="19"/>
      <c r="E243" s="19"/>
      <c r="F243" s="19"/>
      <c r="G243" s="19"/>
      <c r="H243" s="19"/>
      <c r="I243" s="19"/>
      <c r="K243" s="19"/>
      <c r="N243" s="19"/>
      <c r="O243" s="19"/>
      <c r="P243" s="19"/>
      <c r="Q243" s="19"/>
      <c r="R243" s="19"/>
      <c r="S243" s="19"/>
      <c r="T243" s="19"/>
    </row>
    <row r="244" spans="1:29" x14ac:dyDescent="0.25">
      <c r="B244" t="s">
        <v>18</v>
      </c>
      <c r="C244" s="19"/>
      <c r="D244" s="19"/>
      <c r="E244" s="19"/>
      <c r="F244" s="19"/>
      <c r="G244" s="19"/>
      <c r="H244" s="19"/>
      <c r="I244" s="19"/>
      <c r="K244" s="19"/>
      <c r="N244" s="19"/>
      <c r="O244" s="19"/>
      <c r="P244" s="19"/>
      <c r="Q244" s="19"/>
      <c r="R244" s="19"/>
      <c r="S244" s="19"/>
      <c r="T244" s="19"/>
    </row>
    <row r="245" spans="1:29" x14ac:dyDescent="0.25">
      <c r="B245" t="s">
        <v>19</v>
      </c>
      <c r="C245" s="19">
        <v>267</v>
      </c>
      <c r="D245" s="19">
        <v>244</v>
      </c>
      <c r="E245" s="19">
        <v>213</v>
      </c>
      <c r="F245" s="19">
        <v>36</v>
      </c>
      <c r="G245" s="19"/>
      <c r="H245" s="19">
        <f>22+47</f>
        <v>69</v>
      </c>
      <c r="I245" s="19"/>
      <c r="K245" s="19"/>
      <c r="N245" s="19"/>
      <c r="O245" s="19"/>
      <c r="P245" s="19"/>
      <c r="Q245" s="19"/>
      <c r="R245" s="19"/>
      <c r="S245" s="19"/>
      <c r="T245" s="19"/>
    </row>
    <row r="246" spans="1:29" x14ac:dyDescent="0.25">
      <c r="B246" t="s">
        <v>20</v>
      </c>
      <c r="C246" s="19">
        <v>2189</v>
      </c>
      <c r="D246" s="19">
        <v>2038</v>
      </c>
      <c r="E246" s="19">
        <v>1908</v>
      </c>
      <c r="F246" s="19">
        <v>377</v>
      </c>
      <c r="G246" s="19"/>
      <c r="H246" s="19">
        <f>316+141</f>
        <v>457</v>
      </c>
      <c r="I246" s="19"/>
      <c r="K246" s="19"/>
      <c r="N246" s="19">
        <v>1016</v>
      </c>
      <c r="O246" s="19">
        <v>749</v>
      </c>
      <c r="P246" s="19">
        <v>409</v>
      </c>
      <c r="Q246" s="19"/>
      <c r="R246" s="19"/>
      <c r="S246" s="19">
        <v>81</v>
      </c>
      <c r="T246" s="19"/>
      <c r="V246">
        <v>16</v>
      </c>
      <c r="W246">
        <v>7</v>
      </c>
      <c r="X246">
        <v>0</v>
      </c>
      <c r="Z246">
        <v>0</v>
      </c>
      <c r="AB246">
        <v>11</v>
      </c>
    </row>
    <row r="247" spans="1:29" x14ac:dyDescent="0.25">
      <c r="B247" t="s">
        <v>21</v>
      </c>
      <c r="C247" s="19"/>
      <c r="D247" s="19"/>
      <c r="E247" s="19"/>
      <c r="F247" s="19"/>
      <c r="G247" s="19"/>
      <c r="H247" s="19"/>
      <c r="I247" s="19"/>
      <c r="K247" s="19"/>
      <c r="N247" s="19"/>
      <c r="O247" s="19"/>
      <c r="P247" s="19"/>
      <c r="Q247" s="19"/>
      <c r="R247" s="19"/>
      <c r="S247" s="19"/>
      <c r="T247" s="19"/>
    </row>
    <row r="248" spans="1:29" s="10" customFormat="1" x14ac:dyDescent="0.25">
      <c r="B248" s="10" t="s">
        <v>24</v>
      </c>
      <c r="C248" s="20">
        <f>SUM(C243:C247)</f>
        <v>2456</v>
      </c>
      <c r="D248" s="20">
        <f>SUM(D243:D247)</f>
        <v>2282</v>
      </c>
      <c r="E248" s="20">
        <f>SUM(E243:E247)</f>
        <v>2121</v>
      </c>
      <c r="F248" s="20">
        <f>SUM(F243:F247)</f>
        <v>413</v>
      </c>
      <c r="G248" s="20"/>
      <c r="H248" s="20">
        <f>SUM(H243:H247)</f>
        <v>526</v>
      </c>
      <c r="I248" s="20"/>
      <c r="K248" s="21">
        <f>E248/C248</f>
        <v>0.86359934853420195</v>
      </c>
      <c r="L248" s="21">
        <f>E248/D248</f>
        <v>0.92944785276073616</v>
      </c>
      <c r="N248" s="20">
        <f>SUM(N243:N247)</f>
        <v>1016</v>
      </c>
      <c r="O248" s="20">
        <f>SUM(O243:O247)</f>
        <v>749</v>
      </c>
      <c r="P248" s="20">
        <f>SUM(P243:P247)</f>
        <v>409</v>
      </c>
      <c r="Q248" s="20"/>
      <c r="R248" s="20"/>
      <c r="S248" s="20">
        <f>SUM(S243:S247)</f>
        <v>81</v>
      </c>
      <c r="T248" s="20"/>
      <c r="V248" s="10">
        <f>SUM(V243:V247)</f>
        <v>16</v>
      </c>
      <c r="W248" s="10">
        <f>SUM(W243:W247)</f>
        <v>7</v>
      </c>
      <c r="X248" s="10">
        <f>SUM(X243:X247)</f>
        <v>0</v>
      </c>
      <c r="Z248" s="10">
        <f>SUM(Z243:Z247)</f>
        <v>0</v>
      </c>
      <c r="AB248" s="10">
        <f>SUM(AB243:AB247)</f>
        <v>11</v>
      </c>
    </row>
    <row r="249" spans="1:29" x14ac:dyDescent="0.25">
      <c r="B249" t="s">
        <v>22</v>
      </c>
      <c r="C249" s="19"/>
      <c r="D249" s="19"/>
      <c r="E249" s="19"/>
      <c r="F249" s="19"/>
      <c r="G249" s="19"/>
      <c r="H249" s="19"/>
      <c r="I249" s="19"/>
      <c r="K249" s="19"/>
      <c r="N249" s="19"/>
      <c r="O249" s="19"/>
      <c r="P249" s="19"/>
      <c r="Q249" s="19"/>
      <c r="R249" s="19"/>
      <c r="S249" s="19"/>
      <c r="T249" s="19"/>
    </row>
    <row r="250" spans="1:29" x14ac:dyDescent="0.25">
      <c r="B250" t="s">
        <v>23</v>
      </c>
      <c r="C250" s="19"/>
      <c r="D250" s="19"/>
      <c r="E250" s="19"/>
      <c r="F250" s="19"/>
      <c r="G250" s="19"/>
      <c r="H250" s="19"/>
      <c r="I250" s="19"/>
      <c r="K250" s="19"/>
      <c r="N250" s="19"/>
      <c r="O250" s="19"/>
      <c r="P250" s="19"/>
      <c r="Q250" s="19"/>
      <c r="R250" s="19"/>
      <c r="S250" s="19"/>
      <c r="T250" s="19"/>
    </row>
    <row r="251" spans="1:29" x14ac:dyDescent="0.25">
      <c r="B251" t="s">
        <v>14</v>
      </c>
      <c r="C251" s="19">
        <f t="shared" ref="C251:I251" si="137">C248+C249+C250</f>
        <v>2456</v>
      </c>
      <c r="D251" s="19">
        <f t="shared" si="137"/>
        <v>2282</v>
      </c>
      <c r="E251" s="19">
        <f t="shared" si="137"/>
        <v>2121</v>
      </c>
      <c r="F251" s="19">
        <f t="shared" si="137"/>
        <v>413</v>
      </c>
      <c r="G251" s="19"/>
      <c r="H251" s="19">
        <f t="shared" si="137"/>
        <v>526</v>
      </c>
      <c r="I251" s="19">
        <f t="shared" si="137"/>
        <v>0</v>
      </c>
      <c r="K251" s="19"/>
      <c r="N251" s="19">
        <v>6941</v>
      </c>
      <c r="O251" s="19">
        <v>8487</v>
      </c>
      <c r="P251" s="19">
        <v>4382</v>
      </c>
      <c r="Q251" s="19"/>
      <c r="R251" s="19"/>
      <c r="S251" s="19">
        <v>2132</v>
      </c>
      <c r="T251" s="19">
        <v>418</v>
      </c>
      <c r="V251">
        <f t="shared" ref="V251:AB251" si="138">V248+V249+V250</f>
        <v>16</v>
      </c>
      <c r="W251">
        <f t="shared" si="138"/>
        <v>7</v>
      </c>
      <c r="X251">
        <f t="shared" si="138"/>
        <v>0</v>
      </c>
      <c r="Z251">
        <f t="shared" si="138"/>
        <v>0</v>
      </c>
      <c r="AB251">
        <f t="shared" si="138"/>
        <v>11</v>
      </c>
    </row>
    <row r="252" spans="1:29" x14ac:dyDescent="0.25">
      <c r="B252" t="s">
        <v>74</v>
      </c>
      <c r="C252" s="19"/>
      <c r="D252" s="19"/>
      <c r="E252" s="19"/>
      <c r="F252" s="19"/>
      <c r="G252" s="19"/>
      <c r="H252" s="19"/>
      <c r="I252" s="19"/>
      <c r="K252" s="19"/>
      <c r="N252" s="11">
        <f>N251/(SUM($N251:$T251))</f>
        <v>0.31042039355992845</v>
      </c>
      <c r="O252" s="11">
        <f>O251/(SUM($N251:$T251))</f>
        <v>0.37956171735241501</v>
      </c>
      <c r="P252" s="11">
        <f>P251/(SUM($N251:$T251))</f>
        <v>0.19597495527728087</v>
      </c>
      <c r="Q252" s="11"/>
      <c r="R252" s="11"/>
      <c r="S252" s="11">
        <f>S251/(SUM($N251:$T251))</f>
        <v>9.5348837209302331E-2</v>
      </c>
      <c r="T252" s="11">
        <f>T251/(SUM($N251:$T251))</f>
        <v>1.8694096601073344E-2</v>
      </c>
    </row>
    <row r="253" spans="1:29" x14ac:dyDescent="0.25">
      <c r="A253">
        <v>2000</v>
      </c>
      <c r="B253" t="s">
        <v>17</v>
      </c>
      <c r="C253" s="19"/>
      <c r="D253" s="19"/>
      <c r="E253" s="19"/>
      <c r="F253" s="19"/>
      <c r="G253" s="19"/>
      <c r="H253" s="19"/>
      <c r="I253" s="19"/>
      <c r="K253" s="19"/>
      <c r="N253" s="19"/>
      <c r="O253" s="19"/>
      <c r="P253" s="19"/>
      <c r="Q253" s="19"/>
      <c r="R253" s="19"/>
      <c r="S253" s="19"/>
      <c r="T253" s="19"/>
    </row>
    <row r="254" spans="1:29" x14ac:dyDescent="0.25">
      <c r="B254" t="s">
        <v>18</v>
      </c>
      <c r="C254" s="19">
        <v>810</v>
      </c>
      <c r="D254" s="19">
        <v>883</v>
      </c>
      <c r="E254" s="19">
        <v>758</v>
      </c>
      <c r="F254" s="19">
        <v>172</v>
      </c>
      <c r="G254" s="19"/>
      <c r="H254" s="19">
        <f>91+178</f>
        <v>269</v>
      </c>
      <c r="I254" s="19"/>
      <c r="K254" s="19"/>
      <c r="N254" s="19">
        <v>413</v>
      </c>
      <c r="O254" s="19">
        <v>1503</v>
      </c>
      <c r="P254" s="19">
        <v>501</v>
      </c>
      <c r="Q254" s="19"/>
      <c r="R254" s="19"/>
      <c r="S254" s="19">
        <v>61</v>
      </c>
      <c r="T254" s="19"/>
      <c r="V254">
        <v>2</v>
      </c>
      <c r="W254">
        <v>26</v>
      </c>
      <c r="X254">
        <v>3</v>
      </c>
      <c r="Z254">
        <v>0</v>
      </c>
      <c r="AB254">
        <v>5</v>
      </c>
      <c r="AC254">
        <f>SUM(V254:AB254)</f>
        <v>36</v>
      </c>
    </row>
    <row r="255" spans="1:29" x14ac:dyDescent="0.25">
      <c r="B255" t="s">
        <v>19</v>
      </c>
      <c r="C255" s="19">
        <v>832</v>
      </c>
      <c r="D255" s="19">
        <v>757</v>
      </c>
      <c r="E255" s="19">
        <v>619</v>
      </c>
      <c r="F255" s="19">
        <v>46</v>
      </c>
      <c r="G255" s="19"/>
      <c r="H255" s="19">
        <f>82+56</f>
        <v>138</v>
      </c>
      <c r="I255" s="19"/>
      <c r="K255" s="19"/>
      <c r="N255" s="19"/>
      <c r="O255" s="19"/>
      <c r="P255" s="19"/>
      <c r="Q255" s="19"/>
      <c r="R255" s="19"/>
      <c r="S255" s="19"/>
      <c r="T255" s="19"/>
    </row>
    <row r="256" spans="1:29" x14ac:dyDescent="0.25">
      <c r="B256" t="s">
        <v>20</v>
      </c>
      <c r="C256" s="19"/>
      <c r="D256" s="19"/>
      <c r="E256" s="19"/>
      <c r="F256" s="19"/>
      <c r="G256" s="19"/>
      <c r="H256" s="19"/>
      <c r="I256" s="19"/>
      <c r="K256" s="19"/>
      <c r="N256" s="19"/>
      <c r="O256" s="19"/>
      <c r="P256" s="19"/>
      <c r="Q256" s="19"/>
      <c r="R256" s="19"/>
      <c r="S256" s="19"/>
      <c r="T256" s="19"/>
    </row>
    <row r="257" spans="1:29" x14ac:dyDescent="0.25">
      <c r="B257" t="s">
        <v>21</v>
      </c>
      <c r="C257" s="19">
        <v>1545</v>
      </c>
      <c r="D257" s="19">
        <v>1362</v>
      </c>
      <c r="E257" s="19">
        <v>1175</v>
      </c>
      <c r="F257" s="19">
        <v>99</v>
      </c>
      <c r="G257" s="19"/>
      <c r="H257" s="19">
        <f>164+210</f>
        <v>374</v>
      </c>
      <c r="I257" s="19"/>
      <c r="K257" s="19"/>
      <c r="N257" s="19"/>
      <c r="O257" s="19"/>
      <c r="P257" s="19"/>
      <c r="Q257" s="19"/>
      <c r="R257" s="19"/>
      <c r="S257" s="19"/>
      <c r="T257" s="19"/>
      <c r="U257" t="s">
        <v>38</v>
      </c>
      <c r="V257">
        <v>77</v>
      </c>
      <c r="W257">
        <v>76</v>
      </c>
      <c r="X257">
        <v>19</v>
      </c>
      <c r="Z257">
        <v>0</v>
      </c>
      <c r="AB257">
        <v>102</v>
      </c>
      <c r="AC257">
        <f>SUM(V257:AB257)</f>
        <v>274</v>
      </c>
    </row>
    <row r="258" spans="1:29" s="10" customFormat="1" x14ac:dyDescent="0.25">
      <c r="B258" s="10" t="s">
        <v>24</v>
      </c>
      <c r="C258" s="20">
        <f>SUM(C253:C257)</f>
        <v>3187</v>
      </c>
      <c r="D258" s="20">
        <f>SUM(D253:D257)</f>
        <v>3002</v>
      </c>
      <c r="E258" s="20">
        <f>SUM(E253:E257)</f>
        <v>2552</v>
      </c>
      <c r="F258" s="20">
        <f>SUM(F253:F257)</f>
        <v>317</v>
      </c>
      <c r="G258" s="20"/>
      <c r="H258" s="20">
        <f>SUM(H253:H257)</f>
        <v>781</v>
      </c>
      <c r="I258" s="20"/>
      <c r="K258" s="21">
        <f>E258/C258</f>
        <v>0.80075305930342011</v>
      </c>
      <c r="L258" s="21">
        <f>E258/D258</f>
        <v>0.85009993337774814</v>
      </c>
      <c r="N258" s="20">
        <f>SUM(N253:N257)</f>
        <v>413</v>
      </c>
      <c r="O258" s="20">
        <f>SUM(O253:O257)</f>
        <v>1503</v>
      </c>
      <c r="P258" s="20">
        <f>SUM(P253:P257)</f>
        <v>501</v>
      </c>
      <c r="Q258" s="20"/>
      <c r="R258" s="20"/>
      <c r="S258" s="20">
        <f>SUM(S253:S257)</f>
        <v>61</v>
      </c>
      <c r="T258" s="20"/>
      <c r="V258" s="10">
        <f>SUM(V253:V257)</f>
        <v>79</v>
      </c>
      <c r="W258" s="10">
        <f>SUM(W253:W257)</f>
        <v>102</v>
      </c>
      <c r="X258" s="10">
        <f>SUM(X253:X257)</f>
        <v>22</v>
      </c>
      <c r="Z258" s="10">
        <f>SUM(Z253:Z257)</f>
        <v>0</v>
      </c>
      <c r="AB258" s="10">
        <f>SUM(AB253:AB257)</f>
        <v>107</v>
      </c>
    </row>
    <row r="259" spans="1:29" x14ac:dyDescent="0.25">
      <c r="B259" t="s">
        <v>22</v>
      </c>
      <c r="C259" s="19"/>
      <c r="D259" s="19"/>
      <c r="E259" s="19"/>
      <c r="F259" s="19"/>
      <c r="G259" s="19"/>
      <c r="H259" s="19"/>
      <c r="I259" s="19"/>
      <c r="K259" s="19"/>
      <c r="N259" s="19"/>
      <c r="O259" s="19"/>
      <c r="P259" s="19"/>
      <c r="Q259" s="19"/>
      <c r="R259" s="19"/>
      <c r="S259" s="19"/>
      <c r="T259" s="19"/>
    </row>
    <row r="260" spans="1:29" x14ac:dyDescent="0.25">
      <c r="B260" t="s">
        <v>23</v>
      </c>
      <c r="C260" s="19"/>
      <c r="D260" s="19"/>
      <c r="E260" s="19"/>
      <c r="F260" s="19"/>
      <c r="G260" s="19"/>
      <c r="H260" s="19"/>
      <c r="I260" s="19"/>
      <c r="K260" s="19"/>
      <c r="N260" s="19"/>
      <c r="O260" s="19"/>
      <c r="P260" s="19"/>
      <c r="Q260" s="19"/>
      <c r="R260" s="19"/>
      <c r="S260" s="19"/>
      <c r="T260" s="19"/>
    </row>
    <row r="261" spans="1:29" x14ac:dyDescent="0.25">
      <c r="B261" t="s">
        <v>14</v>
      </c>
      <c r="C261" s="19">
        <f t="shared" ref="C261:I261" si="139">C258+C259+C260</f>
        <v>3187</v>
      </c>
      <c r="D261" s="19">
        <f t="shared" si="139"/>
        <v>3002</v>
      </c>
      <c r="E261" s="19">
        <f t="shared" si="139"/>
        <v>2552</v>
      </c>
      <c r="F261" s="19">
        <f t="shared" si="139"/>
        <v>317</v>
      </c>
      <c r="G261" s="19"/>
      <c r="H261" s="19">
        <f t="shared" si="139"/>
        <v>781</v>
      </c>
      <c r="I261" s="19">
        <f t="shared" si="139"/>
        <v>0</v>
      </c>
      <c r="K261" s="19"/>
      <c r="N261" s="19">
        <v>6748</v>
      </c>
      <c r="O261" s="19">
        <v>8536</v>
      </c>
      <c r="P261" s="19">
        <v>4472</v>
      </c>
      <c r="Q261" s="19"/>
      <c r="R261" s="19"/>
      <c r="S261" s="19">
        <v>2078</v>
      </c>
      <c r="T261" s="19">
        <v>444</v>
      </c>
      <c r="V261" s="17"/>
      <c r="W261" s="17"/>
      <c r="X261" s="17"/>
      <c r="Y261" s="17"/>
      <c r="Z261" s="17"/>
      <c r="AA261" s="17"/>
      <c r="AB261" s="17"/>
    </row>
    <row r="262" spans="1:29" x14ac:dyDescent="0.25">
      <c r="B262" t="s">
        <v>74</v>
      </c>
      <c r="C262" s="19"/>
      <c r="D262" s="19"/>
      <c r="E262" s="19"/>
      <c r="F262" s="19"/>
      <c r="G262" s="19"/>
      <c r="H262" s="19"/>
      <c r="I262" s="19"/>
      <c r="K262" s="19"/>
      <c r="N262" s="11">
        <f>N261/(SUM($N261:$T261))</f>
        <v>0.30289972169853668</v>
      </c>
      <c r="O262" s="11">
        <f>O261/(SUM($N261:$T261))</f>
        <v>0.38315827273543407</v>
      </c>
      <c r="P262" s="11">
        <f>P261/(SUM($N261:$T261))</f>
        <v>0.20073615225783284</v>
      </c>
      <c r="Q262" s="11"/>
      <c r="R262" s="11"/>
      <c r="S262" s="11">
        <f>S261/(SUM($N261:$T261))</f>
        <v>9.327587754735614E-2</v>
      </c>
      <c r="T262" s="11">
        <f>T261/(SUM($N261:$T261))</f>
        <v>1.9929975760840289E-2</v>
      </c>
    </row>
    <row r="263" spans="1:29" x14ac:dyDescent="0.25">
      <c r="A263">
        <v>1999</v>
      </c>
      <c r="B263" t="s">
        <v>17</v>
      </c>
      <c r="C263" s="19"/>
      <c r="D263" s="19"/>
      <c r="E263" s="19"/>
      <c r="F263" s="19"/>
      <c r="G263" s="19"/>
      <c r="H263" s="19"/>
      <c r="I263" s="19"/>
      <c r="K263" s="19"/>
      <c r="N263" s="19"/>
      <c r="O263" s="19"/>
      <c r="P263" s="19"/>
      <c r="Q263" s="19"/>
      <c r="R263" s="19"/>
      <c r="S263" s="19"/>
      <c r="T263" s="19"/>
    </row>
    <row r="264" spans="1:29" x14ac:dyDescent="0.25">
      <c r="B264" t="s">
        <v>18</v>
      </c>
      <c r="C264" s="19">
        <v>771</v>
      </c>
      <c r="D264" s="19">
        <v>835</v>
      </c>
      <c r="E264" s="19">
        <v>722</v>
      </c>
      <c r="F264" s="19">
        <v>163</v>
      </c>
      <c r="G264" s="19"/>
      <c r="H264" s="19">
        <f>114+140</f>
        <v>254</v>
      </c>
      <c r="I264" s="19"/>
      <c r="K264" s="19"/>
      <c r="N264" s="19">
        <v>295</v>
      </c>
      <c r="O264" s="19">
        <v>1682</v>
      </c>
      <c r="P264" s="19">
        <v>449</v>
      </c>
      <c r="Q264" s="19"/>
      <c r="R264" s="19"/>
      <c r="S264" s="19">
        <v>55</v>
      </c>
      <c r="T264" s="19"/>
      <c r="V264">
        <v>0</v>
      </c>
      <c r="W264">
        <v>29</v>
      </c>
      <c r="X264">
        <v>3</v>
      </c>
      <c r="Z264">
        <v>0</v>
      </c>
      <c r="AB264">
        <v>4</v>
      </c>
      <c r="AC264">
        <f>SUM(V264:AB264)</f>
        <v>36</v>
      </c>
    </row>
    <row r="265" spans="1:29" x14ac:dyDescent="0.25">
      <c r="B265" t="s">
        <v>19</v>
      </c>
      <c r="C265" s="19">
        <v>1116</v>
      </c>
      <c r="D265" s="19">
        <v>1225</v>
      </c>
      <c r="E265" s="19">
        <v>993</v>
      </c>
      <c r="F265" s="19">
        <v>178</v>
      </c>
      <c r="G265" s="19"/>
      <c r="H265" s="19">
        <f>156+67</f>
        <v>223</v>
      </c>
      <c r="I265" s="19"/>
      <c r="K265" s="19"/>
      <c r="N265" s="19"/>
      <c r="O265" s="19"/>
      <c r="P265" s="19"/>
      <c r="Q265" s="19"/>
      <c r="R265" s="19"/>
      <c r="S265" s="19"/>
      <c r="T265" s="19"/>
    </row>
    <row r="266" spans="1:29" x14ac:dyDescent="0.25">
      <c r="B266" t="s">
        <v>20</v>
      </c>
      <c r="C266" s="19"/>
      <c r="D266" s="19"/>
      <c r="E266" s="19"/>
      <c r="F266" s="19"/>
      <c r="G266" s="19"/>
      <c r="H266" s="19"/>
      <c r="I266" s="19"/>
      <c r="K266" s="19"/>
      <c r="N266" s="19"/>
      <c r="O266" s="19"/>
      <c r="P266" s="19"/>
      <c r="Q266" s="19"/>
      <c r="R266" s="19"/>
      <c r="S266" s="19"/>
      <c r="T266" s="19"/>
    </row>
    <row r="267" spans="1:29" x14ac:dyDescent="0.25">
      <c r="B267" t="s">
        <v>21</v>
      </c>
      <c r="C267" s="19">
        <v>6510</v>
      </c>
      <c r="D267" s="19">
        <v>6360</v>
      </c>
      <c r="E267" s="19">
        <v>5140</v>
      </c>
      <c r="F267" s="19">
        <v>294</v>
      </c>
      <c r="G267" s="19"/>
      <c r="H267" s="19">
        <f>1750+320</f>
        <v>2070</v>
      </c>
      <c r="I267" s="19"/>
      <c r="K267" s="19"/>
      <c r="N267" s="19"/>
      <c r="O267" s="19"/>
      <c r="P267" s="19"/>
      <c r="Q267" s="19"/>
      <c r="R267" s="19"/>
      <c r="S267" s="19"/>
      <c r="T267" s="19"/>
      <c r="U267" t="s">
        <v>38</v>
      </c>
      <c r="V267">
        <v>62</v>
      </c>
      <c r="W267">
        <v>89</v>
      </c>
      <c r="X267">
        <v>21</v>
      </c>
      <c r="Z267">
        <v>0</v>
      </c>
      <c r="AB267">
        <v>112</v>
      </c>
      <c r="AC267">
        <f>SUM(V267:AB267)</f>
        <v>284</v>
      </c>
    </row>
    <row r="268" spans="1:29" s="10" customFormat="1" x14ac:dyDescent="0.25">
      <c r="B268" s="10" t="s">
        <v>24</v>
      </c>
      <c r="C268" s="20">
        <f>SUM(C263:C267)</f>
        <v>8397</v>
      </c>
      <c r="D268" s="20">
        <f>SUM(D263:D267)</f>
        <v>8420</v>
      </c>
      <c r="E268" s="20">
        <f>SUM(E263:E267)</f>
        <v>6855</v>
      </c>
      <c r="F268" s="20">
        <f>SUM(F263:F267)</f>
        <v>635</v>
      </c>
      <c r="G268" s="20"/>
      <c r="H268" s="20">
        <f>SUM(H263:H267)</f>
        <v>2547</v>
      </c>
      <c r="I268" s="20"/>
      <c r="K268" s="21">
        <f>E268/C268</f>
        <v>0.81636298678099317</v>
      </c>
      <c r="L268" s="21">
        <f>E268/D268</f>
        <v>0.81413301662707838</v>
      </c>
      <c r="N268" s="20">
        <f>SUM(N263:N267)</f>
        <v>295</v>
      </c>
      <c r="O268" s="20">
        <f>SUM(O263:O267)</f>
        <v>1682</v>
      </c>
      <c r="P268" s="20">
        <f>SUM(P263:P267)</f>
        <v>449</v>
      </c>
      <c r="Q268" s="20"/>
      <c r="R268" s="20"/>
      <c r="S268" s="20">
        <f>SUM(S263:S267)</f>
        <v>55</v>
      </c>
      <c r="T268" s="20"/>
      <c r="V268" s="10">
        <f>SUM(V263:V267)</f>
        <v>62</v>
      </c>
      <c r="W268" s="10">
        <f>SUM(W263:W267)</f>
        <v>118</v>
      </c>
      <c r="X268" s="10">
        <f>SUM(X263:X267)</f>
        <v>24</v>
      </c>
      <c r="Z268" s="10">
        <f>SUM(Z263:Z267)</f>
        <v>0</v>
      </c>
      <c r="AB268" s="10">
        <f>SUM(AB263:AB267)</f>
        <v>116</v>
      </c>
    </row>
    <row r="269" spans="1:29" x14ac:dyDescent="0.25">
      <c r="B269" t="s">
        <v>22</v>
      </c>
      <c r="C269" s="19">
        <v>727</v>
      </c>
      <c r="D269" s="19">
        <v>978</v>
      </c>
      <c r="E269" s="19">
        <v>609</v>
      </c>
      <c r="F269" s="19">
        <v>1</v>
      </c>
      <c r="G269" s="19"/>
      <c r="H269" s="19">
        <f>337+111</f>
        <v>448</v>
      </c>
      <c r="I269" s="19">
        <v>1058</v>
      </c>
      <c r="K269" s="19"/>
      <c r="N269" s="19"/>
      <c r="O269" s="19"/>
      <c r="P269" s="19"/>
      <c r="Q269" s="19"/>
      <c r="R269" s="19"/>
      <c r="S269" s="19"/>
      <c r="T269" s="19"/>
    </row>
    <row r="270" spans="1:29" x14ac:dyDescent="0.25">
      <c r="B270" t="s">
        <v>23</v>
      </c>
      <c r="C270" s="19">
        <v>333</v>
      </c>
      <c r="D270" s="19">
        <v>966</v>
      </c>
      <c r="E270" s="19">
        <v>417</v>
      </c>
      <c r="F270" s="19">
        <v>31</v>
      </c>
      <c r="G270" s="19"/>
      <c r="H270" s="19">
        <f>465+105</f>
        <v>570</v>
      </c>
      <c r="I270" s="19">
        <v>447</v>
      </c>
      <c r="K270" s="19"/>
      <c r="N270" s="19"/>
      <c r="O270" s="19"/>
      <c r="P270" s="19"/>
      <c r="Q270" s="19"/>
      <c r="R270" s="19"/>
      <c r="S270" s="19"/>
      <c r="T270" s="19"/>
    </row>
    <row r="271" spans="1:29" x14ac:dyDescent="0.25">
      <c r="B271" t="s">
        <v>14</v>
      </c>
      <c r="C271" s="19">
        <f t="shared" ref="C271:I271" si="140">C268+C269+C270</f>
        <v>9457</v>
      </c>
      <c r="D271" s="19">
        <f t="shared" si="140"/>
        <v>10364</v>
      </c>
      <c r="E271" s="19">
        <f t="shared" si="140"/>
        <v>7881</v>
      </c>
      <c r="F271" s="19">
        <f t="shared" si="140"/>
        <v>667</v>
      </c>
      <c r="G271" s="19"/>
      <c r="H271" s="19">
        <f t="shared" si="140"/>
        <v>3565</v>
      </c>
      <c r="I271" s="19">
        <f t="shared" si="140"/>
        <v>1505</v>
      </c>
      <c r="K271" s="19"/>
      <c r="N271" s="19">
        <v>6144</v>
      </c>
      <c r="O271" s="19">
        <v>9134</v>
      </c>
      <c r="P271" s="19">
        <v>4485</v>
      </c>
      <c r="Q271" s="19"/>
      <c r="R271" s="19"/>
      <c r="S271" s="19">
        <v>1973</v>
      </c>
      <c r="T271" s="19">
        <v>444</v>
      </c>
      <c r="V271" s="17"/>
      <c r="W271" s="17"/>
      <c r="X271" s="17"/>
      <c r="Y271" s="17"/>
      <c r="Z271" s="17"/>
      <c r="AA271" s="17"/>
      <c r="AB271" s="17"/>
    </row>
    <row r="272" spans="1:29" x14ac:dyDescent="0.25">
      <c r="B272" t="s">
        <v>74</v>
      </c>
      <c r="C272" s="19"/>
      <c r="D272" s="19"/>
      <c r="E272" s="19"/>
      <c r="F272" s="19"/>
      <c r="G272" s="19"/>
      <c r="H272" s="19"/>
      <c r="I272" s="19"/>
      <c r="K272" s="19"/>
      <c r="N272" s="11">
        <f>N271/(SUM($N271:$T271))</f>
        <v>0.2770063119927863</v>
      </c>
      <c r="O272" s="11">
        <f>O271/(SUM($N271:$T271))</f>
        <v>0.41181244364292158</v>
      </c>
      <c r="P272" s="11">
        <f>P271/(SUM($N271:$T271))</f>
        <v>0.20220919747520288</v>
      </c>
      <c r="Q272" s="11"/>
      <c r="R272" s="11"/>
      <c r="S272" s="11">
        <f>S271/(SUM($N271:$T271))</f>
        <v>8.8954012623985571E-2</v>
      </c>
      <c r="T272" s="11">
        <f>T271/(SUM($N271:$T271))</f>
        <v>2.0018034265103696E-2</v>
      </c>
    </row>
    <row r="273" spans="1:29" x14ac:dyDescent="0.25">
      <c r="A273">
        <v>1998</v>
      </c>
      <c r="B273" t="s">
        <v>17</v>
      </c>
      <c r="C273" s="19">
        <v>1805</v>
      </c>
      <c r="D273" s="19">
        <v>1917</v>
      </c>
      <c r="E273" s="19">
        <v>1578</v>
      </c>
      <c r="F273" s="19">
        <v>257</v>
      </c>
      <c r="G273" s="19"/>
      <c r="H273" s="19">
        <f>90+192</f>
        <v>282</v>
      </c>
      <c r="I273" s="19"/>
      <c r="K273" s="19"/>
      <c r="N273" s="19"/>
      <c r="O273" s="19"/>
      <c r="P273" s="19"/>
      <c r="Q273" s="19"/>
      <c r="R273" s="19"/>
      <c r="S273" s="19"/>
      <c r="T273" s="19"/>
    </row>
    <row r="274" spans="1:29" x14ac:dyDescent="0.25">
      <c r="B274" t="s">
        <v>18</v>
      </c>
      <c r="C274" s="19">
        <v>767</v>
      </c>
      <c r="D274" s="19">
        <v>848</v>
      </c>
      <c r="E274" s="19">
        <v>670</v>
      </c>
      <c r="F274" s="19">
        <v>139</v>
      </c>
      <c r="G274" s="19"/>
      <c r="H274" s="19">
        <f>80+218</f>
        <v>298</v>
      </c>
      <c r="I274" s="19"/>
      <c r="K274" s="19"/>
      <c r="N274" s="19">
        <v>230</v>
      </c>
      <c r="O274" s="19">
        <v>1815</v>
      </c>
      <c r="P274" s="19">
        <v>382</v>
      </c>
      <c r="Q274" s="19"/>
      <c r="R274" s="19"/>
      <c r="S274" s="19">
        <v>54</v>
      </c>
      <c r="T274" s="19"/>
      <c r="V274">
        <v>0</v>
      </c>
      <c r="W274">
        <v>31</v>
      </c>
      <c r="X274">
        <v>1</v>
      </c>
      <c r="Z274">
        <v>0</v>
      </c>
      <c r="AB274">
        <v>4</v>
      </c>
      <c r="AC274">
        <f>SUM(V274:AB274)</f>
        <v>36</v>
      </c>
    </row>
    <row r="275" spans="1:29" x14ac:dyDescent="0.25">
      <c r="B275" t="s">
        <v>19</v>
      </c>
      <c r="C275" s="19">
        <v>194</v>
      </c>
      <c r="D275" s="19">
        <v>186</v>
      </c>
      <c r="E275" s="19">
        <v>196</v>
      </c>
      <c r="F275" s="19">
        <v>36</v>
      </c>
      <c r="G275" s="19"/>
      <c r="H275" s="19">
        <f>31+36</f>
        <v>67</v>
      </c>
      <c r="I275" s="19"/>
      <c r="K275" s="19"/>
      <c r="N275" s="19"/>
      <c r="O275" s="19"/>
      <c r="P275" s="19"/>
      <c r="Q275" s="19"/>
      <c r="R275" s="19"/>
      <c r="S275" s="19"/>
      <c r="T275" s="19"/>
    </row>
    <row r="276" spans="1:29" x14ac:dyDescent="0.25">
      <c r="B276" t="s">
        <v>20</v>
      </c>
      <c r="C276" s="19"/>
      <c r="D276" s="19"/>
      <c r="E276" s="19"/>
      <c r="F276" s="19"/>
      <c r="G276" s="19"/>
      <c r="H276" s="19"/>
      <c r="I276" s="19"/>
      <c r="K276" s="19"/>
      <c r="N276" s="19"/>
      <c r="O276" s="19"/>
      <c r="P276" s="19"/>
      <c r="Q276" s="19"/>
      <c r="R276" s="19"/>
      <c r="S276" s="19"/>
      <c r="T276" s="19"/>
    </row>
    <row r="277" spans="1:29" x14ac:dyDescent="0.25">
      <c r="B277" t="s">
        <v>21</v>
      </c>
      <c r="C277" s="19">
        <v>1283</v>
      </c>
      <c r="D277" s="19">
        <v>1263</v>
      </c>
      <c r="E277" s="19">
        <v>1105</v>
      </c>
      <c r="F277" s="19">
        <v>65</v>
      </c>
      <c r="G277" s="19"/>
      <c r="H277" s="19">
        <f>115+154</f>
        <v>269</v>
      </c>
      <c r="I277" s="19"/>
      <c r="K277" s="19"/>
      <c r="N277" s="19"/>
      <c r="O277" s="19"/>
      <c r="P277" s="19"/>
      <c r="Q277" s="19"/>
      <c r="R277" s="19"/>
      <c r="S277" s="19"/>
      <c r="T277" s="19"/>
      <c r="U277" t="s">
        <v>38</v>
      </c>
      <c r="V277">
        <v>12</v>
      </c>
      <c r="W277">
        <v>112</v>
      </c>
      <c r="X277">
        <v>37</v>
      </c>
      <c r="Z277">
        <v>0</v>
      </c>
      <c r="AB277">
        <v>123</v>
      </c>
      <c r="AC277">
        <f>SUM(V277:AB277)</f>
        <v>284</v>
      </c>
    </row>
    <row r="278" spans="1:29" s="10" customFormat="1" x14ac:dyDescent="0.25">
      <c r="B278" s="10" t="s">
        <v>24</v>
      </c>
      <c r="C278" s="20">
        <f>SUM(C273:C277)</f>
        <v>4049</v>
      </c>
      <c r="D278" s="20">
        <f>SUM(D273:D277)</f>
        <v>4214</v>
      </c>
      <c r="E278" s="20">
        <f>SUM(E273:E277)</f>
        <v>3549</v>
      </c>
      <c r="F278" s="20">
        <f>SUM(F273:F277)</f>
        <v>497</v>
      </c>
      <c r="G278" s="20"/>
      <c r="H278" s="20">
        <f>SUM(H273:H277)</f>
        <v>916</v>
      </c>
      <c r="I278" s="20"/>
      <c r="K278" s="21">
        <f>E278/C278</f>
        <v>0.87651271918992346</v>
      </c>
      <c r="L278" s="21">
        <f>E278/D278</f>
        <v>0.84219269102990035</v>
      </c>
      <c r="N278" s="20">
        <f>SUM(N273:N277)</f>
        <v>230</v>
      </c>
      <c r="O278" s="20">
        <f>SUM(O273:O277)</f>
        <v>1815</v>
      </c>
      <c r="P278" s="20">
        <f>SUM(P273:P277)</f>
        <v>382</v>
      </c>
      <c r="Q278" s="20"/>
      <c r="R278" s="20"/>
      <c r="S278" s="20">
        <f>SUM(S273:S277)</f>
        <v>54</v>
      </c>
      <c r="T278" s="20"/>
      <c r="V278" s="10">
        <f>SUM(V273:V277)</f>
        <v>12</v>
      </c>
      <c r="W278" s="10">
        <f>SUM(W273:W277)</f>
        <v>143</v>
      </c>
      <c r="X278" s="10">
        <f>SUM(X273:X277)</f>
        <v>38</v>
      </c>
      <c r="Z278" s="10">
        <f>SUM(Z273:Z277)</f>
        <v>0</v>
      </c>
      <c r="AB278" s="10">
        <f>SUM(AB273:AB277)</f>
        <v>127</v>
      </c>
    </row>
    <row r="279" spans="1:29" x14ac:dyDescent="0.25">
      <c r="B279" t="s">
        <v>22</v>
      </c>
      <c r="C279" s="19"/>
      <c r="D279" s="19"/>
      <c r="E279" s="19"/>
      <c r="F279" s="19"/>
      <c r="G279" s="19"/>
      <c r="H279" s="19"/>
      <c r="I279" s="19"/>
      <c r="K279" s="19"/>
      <c r="N279" s="19"/>
      <c r="O279" s="19"/>
      <c r="P279" s="19"/>
      <c r="Q279" s="19"/>
      <c r="R279" s="19"/>
      <c r="S279" s="19"/>
      <c r="T279" s="19"/>
    </row>
    <row r="280" spans="1:29" x14ac:dyDescent="0.25">
      <c r="B280" t="s">
        <v>23</v>
      </c>
      <c r="C280" s="19"/>
      <c r="D280" s="19"/>
      <c r="E280" s="19"/>
      <c r="F280" s="19"/>
      <c r="G280" s="19"/>
      <c r="H280" s="19"/>
      <c r="I280" s="19"/>
      <c r="K280" s="19"/>
      <c r="N280" s="19"/>
      <c r="O280" s="19"/>
      <c r="P280" s="19"/>
      <c r="Q280" s="19"/>
      <c r="R280" s="19"/>
      <c r="S280" s="19"/>
      <c r="T280" s="19"/>
    </row>
    <row r="281" spans="1:29" x14ac:dyDescent="0.25">
      <c r="B281" t="s">
        <v>14</v>
      </c>
      <c r="C281" s="19">
        <f t="shared" ref="C281:I281" si="141">C278+C279+C280</f>
        <v>4049</v>
      </c>
      <c r="D281" s="19">
        <f t="shared" si="141"/>
        <v>4214</v>
      </c>
      <c r="E281" s="19">
        <f t="shared" si="141"/>
        <v>3549</v>
      </c>
      <c r="F281" s="19">
        <f t="shared" si="141"/>
        <v>497</v>
      </c>
      <c r="G281" s="19"/>
      <c r="H281" s="19">
        <f t="shared" si="141"/>
        <v>916</v>
      </c>
      <c r="I281" s="19">
        <f t="shared" si="141"/>
        <v>0</v>
      </c>
      <c r="K281" s="19"/>
      <c r="N281" s="19">
        <v>4772</v>
      </c>
      <c r="O281" s="19">
        <v>10411</v>
      </c>
      <c r="P281" s="19">
        <v>4629</v>
      </c>
      <c r="Q281" s="19"/>
      <c r="R281" s="19"/>
      <c r="S281" s="19">
        <v>2083</v>
      </c>
      <c r="T281" s="19">
        <v>304</v>
      </c>
      <c r="V281" s="17"/>
      <c r="W281" s="17"/>
      <c r="X281" s="17"/>
      <c r="Y281" s="17"/>
      <c r="Z281" s="17"/>
      <c r="AA281" s="17"/>
      <c r="AB281" s="17"/>
    </row>
    <row r="282" spans="1:29" x14ac:dyDescent="0.25">
      <c r="B282" t="s">
        <v>74</v>
      </c>
      <c r="C282" s="19"/>
      <c r="D282" s="19"/>
      <c r="E282" s="19"/>
      <c r="F282" s="19"/>
      <c r="G282" s="19"/>
      <c r="H282" s="19"/>
      <c r="I282" s="19"/>
      <c r="K282" s="19"/>
      <c r="N282" s="11">
        <f>N281/(SUM($N281:$T281))</f>
        <v>0.21496463804675886</v>
      </c>
      <c r="O282" s="11">
        <f>O281/(SUM($N281:$T281))</f>
        <v>0.46898508941844225</v>
      </c>
      <c r="P282" s="11">
        <f>P281/(SUM($N281:$T281))</f>
        <v>0.2085229064372269</v>
      </c>
      <c r="Q282" s="11"/>
      <c r="R282" s="11"/>
      <c r="S282" s="11">
        <f>S281/(SUM($N281:$T281))</f>
        <v>9.3833055543042485E-2</v>
      </c>
      <c r="T282" s="11">
        <f>T281/(SUM($N281:$T281))</f>
        <v>1.3694310554529483E-2</v>
      </c>
    </row>
    <row r="283" spans="1:29" x14ac:dyDescent="0.25">
      <c r="A283">
        <v>1997</v>
      </c>
      <c r="B283" t="s">
        <v>17</v>
      </c>
      <c r="C283" s="19"/>
      <c r="D283" s="19"/>
      <c r="E283" s="19"/>
      <c r="F283" s="19"/>
      <c r="G283" s="19"/>
      <c r="H283" s="19"/>
      <c r="I283" s="19"/>
      <c r="K283" s="19"/>
      <c r="N283" s="19"/>
      <c r="O283" s="19"/>
      <c r="P283" s="19"/>
      <c r="Q283" s="19"/>
      <c r="R283" s="19"/>
      <c r="S283" s="19"/>
      <c r="T283" s="19"/>
    </row>
    <row r="284" spans="1:29" x14ac:dyDescent="0.25">
      <c r="B284" t="s">
        <v>18</v>
      </c>
      <c r="C284" s="19"/>
      <c r="D284" s="19"/>
      <c r="E284" s="19"/>
      <c r="F284" s="19"/>
      <c r="G284" s="19"/>
      <c r="H284" s="19"/>
      <c r="I284" s="19"/>
      <c r="K284" s="19"/>
      <c r="N284" s="19"/>
      <c r="O284" s="19"/>
      <c r="P284" s="19"/>
      <c r="Q284" s="19"/>
      <c r="R284" s="19"/>
      <c r="S284" s="19"/>
      <c r="T284" s="19"/>
    </row>
    <row r="285" spans="1:29" x14ac:dyDescent="0.25">
      <c r="B285" t="s">
        <v>19</v>
      </c>
      <c r="C285" s="19">
        <v>882</v>
      </c>
      <c r="D285" s="19">
        <v>1011</v>
      </c>
      <c r="E285" s="19">
        <v>688</v>
      </c>
      <c r="F285" s="19">
        <v>48</v>
      </c>
      <c r="G285" s="19"/>
      <c r="H285" s="19">
        <f>91+93</f>
        <v>184</v>
      </c>
      <c r="I285" s="19"/>
      <c r="K285" s="19"/>
      <c r="N285" s="19"/>
      <c r="O285" s="19"/>
      <c r="P285" s="19"/>
      <c r="Q285" s="19"/>
      <c r="R285" s="19"/>
      <c r="S285" s="19"/>
      <c r="T285" s="19"/>
    </row>
    <row r="286" spans="1:29" x14ac:dyDescent="0.25">
      <c r="B286" t="s">
        <v>20</v>
      </c>
      <c r="C286" s="19">
        <v>2051</v>
      </c>
      <c r="D286" s="19">
        <v>2134</v>
      </c>
      <c r="E286" s="19">
        <v>1922</v>
      </c>
      <c r="F286" s="19">
        <v>240</v>
      </c>
      <c r="G286" s="19"/>
      <c r="H286" s="19">
        <f>273+194</f>
        <v>467</v>
      </c>
      <c r="I286" s="19"/>
      <c r="K286" s="19"/>
      <c r="N286" s="19">
        <v>873</v>
      </c>
      <c r="O286" s="19">
        <v>745</v>
      </c>
      <c r="P286" s="19">
        <v>495</v>
      </c>
      <c r="Q286" s="19"/>
      <c r="R286" s="19"/>
      <c r="S286" s="19">
        <v>90</v>
      </c>
      <c r="T286" s="19"/>
      <c r="V286">
        <v>9</v>
      </c>
      <c r="W286">
        <v>8</v>
      </c>
      <c r="X286">
        <v>2</v>
      </c>
      <c r="Z286">
        <v>0</v>
      </c>
      <c r="AB286">
        <v>15</v>
      </c>
    </row>
    <row r="287" spans="1:29" x14ac:dyDescent="0.25">
      <c r="B287" t="s">
        <v>21</v>
      </c>
      <c r="C287" s="19"/>
      <c r="D287" s="19"/>
      <c r="E287" s="19"/>
      <c r="F287" s="19"/>
      <c r="G287" s="19"/>
      <c r="H287" s="19"/>
      <c r="I287" s="19"/>
      <c r="K287" s="19"/>
      <c r="N287" s="19"/>
      <c r="O287" s="19"/>
      <c r="P287" s="19"/>
      <c r="Q287" s="19"/>
      <c r="R287" s="19"/>
      <c r="S287" s="19"/>
      <c r="T287" s="19"/>
    </row>
    <row r="288" spans="1:29" s="10" customFormat="1" x14ac:dyDescent="0.25">
      <c r="B288" s="10" t="s">
        <v>24</v>
      </c>
      <c r="C288" s="20">
        <f>SUM(C283:C287)</f>
        <v>2933</v>
      </c>
      <c r="D288" s="20">
        <f>SUM(D283:D287)</f>
        <v>3145</v>
      </c>
      <c r="E288" s="20">
        <f>SUM(E283:E287)</f>
        <v>2610</v>
      </c>
      <c r="F288" s="20">
        <f>SUM(F283:F287)</f>
        <v>288</v>
      </c>
      <c r="G288" s="20"/>
      <c r="H288" s="20">
        <f>SUM(H283:H287)</f>
        <v>651</v>
      </c>
      <c r="I288" s="20"/>
      <c r="K288" s="21">
        <f>E288/C288</f>
        <v>0.88987384930105695</v>
      </c>
      <c r="L288" s="21">
        <f>E288/D288</f>
        <v>0.82988871224165339</v>
      </c>
      <c r="N288" s="20">
        <f>SUM(N283:N287)</f>
        <v>873</v>
      </c>
      <c r="O288" s="20">
        <f>SUM(O283:O287)</f>
        <v>745</v>
      </c>
      <c r="P288" s="20">
        <f>SUM(P283:P287)</f>
        <v>495</v>
      </c>
      <c r="Q288" s="20"/>
      <c r="R288" s="20"/>
      <c r="S288" s="20">
        <f>SUM(S283:S287)</f>
        <v>90</v>
      </c>
      <c r="T288" s="20"/>
      <c r="V288" s="10">
        <f>SUM(V283:V287)</f>
        <v>9</v>
      </c>
      <c r="W288" s="10">
        <f>SUM(W283:W287)</f>
        <v>8</v>
      </c>
      <c r="X288" s="10">
        <f>SUM(X283:X287)</f>
        <v>2</v>
      </c>
      <c r="Z288" s="10">
        <f>SUM(Z283:Z287)</f>
        <v>0</v>
      </c>
      <c r="AB288" s="10">
        <f>SUM(AB283:AB287)</f>
        <v>15</v>
      </c>
    </row>
    <row r="289" spans="1:29" x14ac:dyDescent="0.25">
      <c r="B289" t="s">
        <v>22</v>
      </c>
      <c r="C289" s="19"/>
      <c r="D289" s="19"/>
      <c r="E289" s="19"/>
      <c r="F289" s="19"/>
      <c r="G289" s="19"/>
      <c r="H289" s="19"/>
      <c r="I289" s="19"/>
      <c r="K289" s="19"/>
      <c r="N289" s="19"/>
      <c r="O289" s="19"/>
      <c r="P289" s="19"/>
      <c r="Q289" s="19"/>
      <c r="R289" s="19"/>
      <c r="S289" s="19"/>
      <c r="T289" s="19"/>
    </row>
    <row r="290" spans="1:29" x14ac:dyDescent="0.25">
      <c r="B290" t="s">
        <v>23</v>
      </c>
      <c r="C290" s="19"/>
      <c r="D290" s="19"/>
      <c r="E290" s="19"/>
      <c r="F290" s="19"/>
      <c r="G290" s="19"/>
      <c r="H290" s="19"/>
      <c r="I290" s="19"/>
      <c r="K290" s="19"/>
      <c r="N290" s="19"/>
      <c r="O290" s="19"/>
      <c r="P290" s="19"/>
      <c r="Q290" s="19"/>
      <c r="R290" s="19"/>
      <c r="S290" s="19"/>
      <c r="T290" s="19"/>
    </row>
    <row r="291" spans="1:29" x14ac:dyDescent="0.25">
      <c r="B291" t="s">
        <v>14</v>
      </c>
      <c r="C291" s="19">
        <f t="shared" ref="C291:I291" si="142">C288+C289+C290</f>
        <v>2933</v>
      </c>
      <c r="D291" s="19">
        <f t="shared" si="142"/>
        <v>3145</v>
      </c>
      <c r="E291" s="19">
        <f t="shared" si="142"/>
        <v>2610</v>
      </c>
      <c r="F291" s="19">
        <f t="shared" si="142"/>
        <v>288</v>
      </c>
      <c r="G291" s="19"/>
      <c r="H291" s="19">
        <f t="shared" si="142"/>
        <v>651</v>
      </c>
      <c r="I291" s="19">
        <f t="shared" si="142"/>
        <v>0</v>
      </c>
      <c r="K291" s="19"/>
      <c r="N291" s="19">
        <v>4449</v>
      </c>
      <c r="O291" s="19">
        <v>10608</v>
      </c>
      <c r="P291" s="19">
        <v>4754</v>
      </c>
      <c r="Q291" s="19"/>
      <c r="R291" s="19"/>
      <c r="S291" s="19">
        <v>2076</v>
      </c>
      <c r="T291" s="19">
        <v>301</v>
      </c>
      <c r="V291">
        <f t="shared" ref="V291:AB291" si="143">V288+V289+V290</f>
        <v>9</v>
      </c>
      <c r="W291">
        <f t="shared" si="143"/>
        <v>8</v>
      </c>
      <c r="X291">
        <f t="shared" si="143"/>
        <v>2</v>
      </c>
      <c r="Z291">
        <f t="shared" si="143"/>
        <v>0</v>
      </c>
      <c r="AB291">
        <f t="shared" si="143"/>
        <v>15</v>
      </c>
    </row>
    <row r="292" spans="1:29" x14ac:dyDescent="0.25">
      <c r="B292" t="s">
        <v>74</v>
      </c>
      <c r="C292" s="19"/>
      <c r="D292" s="19"/>
      <c r="E292" s="19"/>
      <c r="F292" s="19"/>
      <c r="G292" s="19"/>
      <c r="H292" s="19"/>
      <c r="I292" s="19"/>
      <c r="K292" s="19"/>
      <c r="N292" s="11">
        <f>N291/(SUM($N291:$T291))</f>
        <v>0.20051379123850729</v>
      </c>
      <c r="O292" s="11">
        <f>O291/(SUM($N291:$T291))</f>
        <v>0.4780962682531098</v>
      </c>
      <c r="P292" s="11">
        <f>P291/(SUM($N291:$T291))</f>
        <v>0.21425996033892195</v>
      </c>
      <c r="Q292" s="11"/>
      <c r="R292" s="11"/>
      <c r="S292" s="11">
        <f>S291/(SUM($N291:$T291))</f>
        <v>9.3564088696592759E-2</v>
      </c>
      <c r="T292" s="11">
        <f>T291/(SUM($N291:$T291))</f>
        <v>1.3565891472868217E-2</v>
      </c>
    </row>
    <row r="293" spans="1:29" x14ac:dyDescent="0.25">
      <c r="A293">
        <v>1996</v>
      </c>
      <c r="B293" t="s">
        <v>17</v>
      </c>
      <c r="C293" s="19"/>
      <c r="D293" s="19"/>
      <c r="E293" s="19"/>
      <c r="F293" s="19"/>
      <c r="G293" s="19"/>
      <c r="H293" s="19"/>
      <c r="I293" s="19"/>
      <c r="K293" s="19"/>
      <c r="N293" s="19"/>
      <c r="O293" s="19"/>
      <c r="P293" s="19"/>
      <c r="Q293" s="19"/>
      <c r="R293" s="19"/>
      <c r="S293" s="19"/>
      <c r="T293" s="19"/>
    </row>
    <row r="294" spans="1:29" x14ac:dyDescent="0.25">
      <c r="B294" t="s">
        <v>18</v>
      </c>
      <c r="C294" s="19">
        <v>726</v>
      </c>
      <c r="D294" s="19">
        <v>836</v>
      </c>
      <c r="E294" s="19">
        <v>640</v>
      </c>
      <c r="F294" s="19">
        <v>130</v>
      </c>
      <c r="G294" s="19"/>
      <c r="H294" s="19">
        <f>57+157</f>
        <v>214</v>
      </c>
      <c r="I294" s="19"/>
      <c r="K294" s="19"/>
      <c r="N294" s="19">
        <v>196</v>
      </c>
      <c r="O294" s="19">
        <v>1877</v>
      </c>
      <c r="P294" s="19">
        <v>355</v>
      </c>
      <c r="Q294" s="19"/>
      <c r="R294" s="19"/>
      <c r="S294" s="19">
        <v>53</v>
      </c>
      <c r="T294" s="19"/>
      <c r="V294">
        <v>0</v>
      </c>
      <c r="W294">
        <v>32</v>
      </c>
      <c r="X294">
        <v>0</v>
      </c>
      <c r="Z294">
        <v>0</v>
      </c>
      <c r="AB294">
        <v>4</v>
      </c>
      <c r="AC294">
        <f>SUM(V294:AB294)</f>
        <v>36</v>
      </c>
    </row>
    <row r="295" spans="1:29" x14ac:dyDescent="0.25">
      <c r="B295" t="s">
        <v>19</v>
      </c>
      <c r="C295" s="19">
        <v>600</v>
      </c>
      <c r="D295" s="19">
        <v>637</v>
      </c>
      <c r="E295" s="19">
        <v>513</v>
      </c>
      <c r="F295" s="19">
        <v>73</v>
      </c>
      <c r="G295" s="19"/>
      <c r="H295" s="19">
        <f>59+10</f>
        <v>69</v>
      </c>
      <c r="I295" s="19"/>
      <c r="K295" s="19"/>
      <c r="N295" s="19"/>
      <c r="O295" s="19"/>
      <c r="P295" s="19"/>
      <c r="Q295" s="19"/>
      <c r="R295" s="19"/>
      <c r="S295" s="19"/>
      <c r="T295" s="19"/>
    </row>
    <row r="296" spans="1:29" x14ac:dyDescent="0.25">
      <c r="B296" t="s">
        <v>20</v>
      </c>
      <c r="C296" s="19"/>
      <c r="D296" s="19"/>
      <c r="E296" s="19"/>
      <c r="F296" s="19"/>
      <c r="G296" s="19"/>
      <c r="H296" s="19"/>
      <c r="I296" s="19"/>
      <c r="K296" s="19"/>
      <c r="N296" s="19"/>
      <c r="O296" s="19"/>
      <c r="P296" s="19"/>
      <c r="Q296" s="19"/>
      <c r="R296" s="19"/>
      <c r="S296" s="19"/>
      <c r="T296" s="19"/>
    </row>
    <row r="297" spans="1:29" x14ac:dyDescent="0.25">
      <c r="B297" t="s">
        <v>21</v>
      </c>
      <c r="C297" s="19">
        <v>1394</v>
      </c>
      <c r="D297" s="19">
        <v>1442</v>
      </c>
      <c r="E297" s="19">
        <v>1177</v>
      </c>
      <c r="F297" s="19">
        <v>82</v>
      </c>
      <c r="G297" s="19"/>
      <c r="H297" s="19">
        <f>176+72</f>
        <v>248</v>
      </c>
      <c r="I297" s="19"/>
      <c r="K297" s="19"/>
      <c r="N297" s="19"/>
      <c r="O297" s="19"/>
      <c r="P297" s="19"/>
      <c r="Q297" s="19"/>
      <c r="R297" s="19"/>
      <c r="S297" s="19"/>
      <c r="T297" s="19"/>
      <c r="U297" t="s">
        <v>38</v>
      </c>
      <c r="V297">
        <v>9</v>
      </c>
      <c r="W297">
        <v>117</v>
      </c>
      <c r="X297">
        <v>50</v>
      </c>
      <c r="Z297">
        <v>0</v>
      </c>
      <c r="AB297">
        <v>111</v>
      </c>
      <c r="AC297">
        <f>SUM(V297:AB297)</f>
        <v>287</v>
      </c>
    </row>
    <row r="298" spans="1:29" s="10" customFormat="1" x14ac:dyDescent="0.25">
      <c r="B298" s="10" t="s">
        <v>24</v>
      </c>
      <c r="C298" s="20">
        <f>SUM(C293:C297)</f>
        <v>2720</v>
      </c>
      <c r="D298" s="20">
        <f>SUM(D293:D297)</f>
        <v>2915</v>
      </c>
      <c r="E298" s="20">
        <f>SUM(E293:E297)</f>
        <v>2330</v>
      </c>
      <c r="F298" s="20">
        <f>SUM(F293:F297)</f>
        <v>285</v>
      </c>
      <c r="G298" s="20"/>
      <c r="H298" s="20">
        <f>SUM(H293:H297)</f>
        <v>531</v>
      </c>
      <c r="I298" s="20"/>
      <c r="K298" s="21">
        <f>E298/C298</f>
        <v>0.85661764705882348</v>
      </c>
      <c r="L298" s="21">
        <f>E298/D298</f>
        <v>0.79931389365351635</v>
      </c>
      <c r="N298" s="20">
        <f>SUM(N293:N297)</f>
        <v>196</v>
      </c>
      <c r="O298" s="20">
        <f>SUM(O293:O297)</f>
        <v>1877</v>
      </c>
      <c r="P298" s="20">
        <f>SUM(P293:P297)</f>
        <v>355</v>
      </c>
      <c r="Q298" s="20"/>
      <c r="R298" s="20"/>
      <c r="S298" s="20">
        <f>SUM(S293:S297)</f>
        <v>53</v>
      </c>
      <c r="T298" s="20"/>
      <c r="V298" s="10">
        <f>SUM(V293:V297)</f>
        <v>9</v>
      </c>
      <c r="W298" s="10">
        <f>SUM(W293:W297)</f>
        <v>149</v>
      </c>
      <c r="X298" s="10">
        <f>SUM(X293:X297)</f>
        <v>50</v>
      </c>
      <c r="Z298" s="10">
        <f>SUM(Z293:Z297)</f>
        <v>0</v>
      </c>
      <c r="AB298" s="10">
        <f>SUM(AB293:AB297)</f>
        <v>115</v>
      </c>
    </row>
    <row r="299" spans="1:29" x14ac:dyDescent="0.25">
      <c r="B299" t="s">
        <v>22</v>
      </c>
      <c r="C299" s="19"/>
      <c r="D299" s="19"/>
      <c r="E299" s="19"/>
      <c r="F299" s="19"/>
      <c r="G299" s="19"/>
      <c r="H299" s="19"/>
      <c r="I299" s="19"/>
      <c r="K299" s="19"/>
      <c r="N299" s="19"/>
      <c r="O299" s="19"/>
      <c r="P299" s="19"/>
      <c r="Q299" s="19"/>
      <c r="R299" s="19"/>
      <c r="S299" s="19"/>
      <c r="T299" s="19"/>
    </row>
    <row r="300" spans="1:29" x14ac:dyDescent="0.25">
      <c r="B300" t="s">
        <v>23</v>
      </c>
      <c r="C300" s="19"/>
      <c r="D300" s="19"/>
      <c r="E300" s="19"/>
      <c r="F300" s="19"/>
      <c r="G300" s="19"/>
      <c r="H300" s="19"/>
      <c r="I300" s="19"/>
      <c r="K300" s="19"/>
      <c r="N300" s="19"/>
      <c r="O300" s="19"/>
      <c r="P300" s="19"/>
      <c r="Q300" s="19"/>
      <c r="R300" s="19"/>
      <c r="S300" s="19"/>
      <c r="T300" s="19"/>
    </row>
    <row r="301" spans="1:29" x14ac:dyDescent="0.25">
      <c r="B301" t="s">
        <v>14</v>
      </c>
      <c r="C301" s="19">
        <f t="shared" ref="C301:I301" si="144">C298+C299+C300</f>
        <v>2720</v>
      </c>
      <c r="D301" s="19">
        <f t="shared" si="144"/>
        <v>2915</v>
      </c>
      <c r="E301" s="19">
        <f t="shared" si="144"/>
        <v>2330</v>
      </c>
      <c r="F301" s="19">
        <f t="shared" si="144"/>
        <v>285</v>
      </c>
      <c r="G301" s="19"/>
      <c r="H301" s="19">
        <f t="shared" si="144"/>
        <v>531</v>
      </c>
      <c r="I301" s="19">
        <f t="shared" si="144"/>
        <v>0</v>
      </c>
      <c r="K301" s="19"/>
      <c r="N301" s="19">
        <v>4276</v>
      </c>
      <c r="O301" s="19">
        <v>10929</v>
      </c>
      <c r="P301" s="19">
        <v>5078</v>
      </c>
      <c r="Q301" s="19"/>
      <c r="R301" s="19"/>
      <c r="S301" s="19">
        <v>2157</v>
      </c>
      <c r="T301" s="19">
        <v>298</v>
      </c>
      <c r="V301">
        <f t="shared" ref="V301:AB301" si="145">V298+V299+V300</f>
        <v>9</v>
      </c>
      <c r="W301">
        <f t="shared" si="145"/>
        <v>149</v>
      </c>
      <c r="X301">
        <f t="shared" si="145"/>
        <v>50</v>
      </c>
      <c r="Z301">
        <f t="shared" si="145"/>
        <v>0</v>
      </c>
      <c r="AB301">
        <f t="shared" si="145"/>
        <v>115</v>
      </c>
    </row>
    <row r="302" spans="1:29" x14ac:dyDescent="0.25">
      <c r="B302" t="s">
        <v>74</v>
      </c>
      <c r="C302" s="19"/>
      <c r="D302" s="19"/>
      <c r="E302" s="19"/>
      <c r="F302" s="19"/>
      <c r="G302" s="19"/>
      <c r="H302" s="19" t="s">
        <v>33</v>
      </c>
      <c r="I302" s="19"/>
      <c r="K302" s="19"/>
      <c r="N302" s="11">
        <f>N301/(SUM($N301:$T301))</f>
        <v>0.18805523792769813</v>
      </c>
      <c r="O302" s="11">
        <f>O301/(SUM($N301:$T301))</f>
        <v>0.48064913360893657</v>
      </c>
      <c r="P302" s="11">
        <f>P301/(SUM($N301:$T301))</f>
        <v>0.223326589849591</v>
      </c>
      <c r="Q302" s="11"/>
      <c r="R302" s="11"/>
      <c r="S302" s="11">
        <f>S301/(SUM($N301:$T301))</f>
        <v>9.4863224558008621E-2</v>
      </c>
      <c r="T302" s="11">
        <f>T301/(SUM($N301:$T301))</f>
        <v>1.3105814055765679E-2</v>
      </c>
    </row>
    <row r="303" spans="1:29" x14ac:dyDescent="0.25">
      <c r="A303">
        <v>1995</v>
      </c>
      <c r="B303" t="s">
        <v>17</v>
      </c>
      <c r="C303" s="19"/>
      <c r="D303" s="19"/>
      <c r="E303" s="19"/>
      <c r="F303" s="19"/>
      <c r="G303" s="19"/>
      <c r="H303" s="19"/>
      <c r="I303" s="19"/>
      <c r="K303" s="19"/>
      <c r="N303" s="19"/>
      <c r="O303" s="19"/>
      <c r="P303" s="19"/>
      <c r="Q303" s="19"/>
      <c r="R303" s="19"/>
      <c r="S303" s="19"/>
      <c r="T303" s="19"/>
    </row>
    <row r="304" spans="1:29" x14ac:dyDescent="0.25">
      <c r="B304" t="s">
        <v>18</v>
      </c>
      <c r="C304" s="19">
        <v>728</v>
      </c>
      <c r="D304" s="19">
        <v>826</v>
      </c>
      <c r="E304" s="19">
        <v>638</v>
      </c>
      <c r="F304" s="19">
        <v>137</v>
      </c>
      <c r="G304" s="19"/>
      <c r="H304" s="19">
        <f>62+145+51</f>
        <v>258</v>
      </c>
      <c r="I304" s="19"/>
      <c r="K304" s="19"/>
      <c r="N304" s="19">
        <v>382</v>
      </c>
      <c r="O304" s="19">
        <v>1738</v>
      </c>
      <c r="P304" s="19">
        <v>324</v>
      </c>
      <c r="Q304" s="19"/>
      <c r="R304" s="19"/>
      <c r="S304" s="19">
        <v>37</v>
      </c>
      <c r="T304" s="19"/>
      <c r="V304">
        <v>0</v>
      </c>
      <c r="W304">
        <v>30</v>
      </c>
      <c r="X304">
        <v>0</v>
      </c>
      <c r="Z304">
        <v>0</v>
      </c>
      <c r="AB304">
        <v>6</v>
      </c>
    </row>
    <row r="305" spans="1:29" x14ac:dyDescent="0.25">
      <c r="B305" t="s">
        <v>19</v>
      </c>
      <c r="C305" s="19"/>
      <c r="D305" s="19"/>
      <c r="E305" s="19"/>
      <c r="F305" s="19"/>
      <c r="G305" s="19"/>
      <c r="H305" s="19"/>
      <c r="I305" s="19"/>
      <c r="K305" s="19"/>
      <c r="N305" s="19"/>
      <c r="O305" s="19"/>
      <c r="P305" s="19"/>
      <c r="Q305" s="19"/>
      <c r="R305" s="19"/>
      <c r="S305" s="19"/>
      <c r="T305" s="19"/>
    </row>
    <row r="306" spans="1:29" x14ac:dyDescent="0.25">
      <c r="B306" t="s">
        <v>20</v>
      </c>
      <c r="C306" s="19"/>
      <c r="D306" s="19"/>
      <c r="E306" s="19"/>
      <c r="F306" s="19"/>
      <c r="G306" s="19"/>
      <c r="H306" s="19"/>
      <c r="I306" s="19"/>
      <c r="K306" s="19"/>
      <c r="N306" s="19"/>
      <c r="O306" s="19"/>
      <c r="P306" s="19"/>
      <c r="Q306" s="19"/>
      <c r="R306" s="19"/>
      <c r="S306" s="19"/>
      <c r="T306" s="19"/>
    </row>
    <row r="307" spans="1:29" x14ac:dyDescent="0.25">
      <c r="B307" t="s">
        <v>21</v>
      </c>
      <c r="C307" s="19" t="s">
        <v>34</v>
      </c>
      <c r="D307" s="19" t="s">
        <v>34</v>
      </c>
      <c r="E307" s="19" t="s">
        <v>34</v>
      </c>
      <c r="F307" s="19" t="s">
        <v>34</v>
      </c>
      <c r="G307" s="19"/>
      <c r="H307" s="19" t="s">
        <v>34</v>
      </c>
      <c r="I307" s="19"/>
      <c r="K307" s="19"/>
      <c r="N307" s="19"/>
      <c r="O307" s="19"/>
      <c r="P307" s="19"/>
      <c r="Q307" s="19"/>
      <c r="R307" s="19"/>
      <c r="S307" s="19"/>
      <c r="T307" s="19"/>
      <c r="U307" t="s">
        <v>38</v>
      </c>
      <c r="V307">
        <v>8</v>
      </c>
      <c r="W307">
        <v>111</v>
      </c>
      <c r="X307">
        <v>45</v>
      </c>
      <c r="Z307">
        <v>0</v>
      </c>
      <c r="AB307">
        <v>124</v>
      </c>
      <c r="AC307">
        <f>SUM(V307:AB307)</f>
        <v>288</v>
      </c>
    </row>
    <row r="308" spans="1:29" s="10" customFormat="1" x14ac:dyDescent="0.25">
      <c r="B308" s="10" t="s">
        <v>24</v>
      </c>
      <c r="C308" s="20">
        <f>SUM(C303:C307)</f>
        <v>728</v>
      </c>
      <c r="D308" s="20">
        <f>SUM(D303:D307)</f>
        <v>826</v>
      </c>
      <c r="E308" s="20">
        <f>SUM(E303:E307)</f>
        <v>638</v>
      </c>
      <c r="F308" s="20">
        <f>SUM(F303:F307)</f>
        <v>137</v>
      </c>
      <c r="G308" s="20"/>
      <c r="H308" s="20">
        <f>SUM(H303:H307)</f>
        <v>258</v>
      </c>
      <c r="I308" s="20"/>
      <c r="K308" s="20"/>
      <c r="N308" s="20">
        <f>SUM(N303:N307)</f>
        <v>382</v>
      </c>
      <c r="O308" s="20">
        <f>SUM(O303:O307)</f>
        <v>1738</v>
      </c>
      <c r="P308" s="20">
        <f>SUM(P303:P307)</f>
        <v>324</v>
      </c>
      <c r="Q308" s="20"/>
      <c r="R308" s="20"/>
      <c r="S308" s="20">
        <f>SUM(S303:S307)</f>
        <v>37</v>
      </c>
      <c r="T308" s="20"/>
      <c r="V308" s="10">
        <f>SUM(V303:V307)</f>
        <v>8</v>
      </c>
      <c r="W308" s="10">
        <f>SUM(W303:W307)</f>
        <v>141</v>
      </c>
      <c r="X308" s="10">
        <f>SUM(X303:X307)</f>
        <v>45</v>
      </c>
      <c r="Z308" s="10">
        <f>SUM(Z303:Z307)</f>
        <v>0</v>
      </c>
      <c r="AB308" s="10">
        <f>SUM(AB303:AB307)</f>
        <v>130</v>
      </c>
    </row>
    <row r="309" spans="1:29" x14ac:dyDescent="0.25">
      <c r="B309" t="s">
        <v>22</v>
      </c>
      <c r="C309" s="19">
        <v>587</v>
      </c>
      <c r="D309" s="19">
        <v>936</v>
      </c>
      <c r="E309" s="19">
        <v>528</v>
      </c>
      <c r="F309" s="19">
        <v>24</v>
      </c>
      <c r="G309" s="19"/>
      <c r="H309" s="19">
        <f>288+46+112</f>
        <v>446</v>
      </c>
      <c r="I309" s="19">
        <v>996</v>
      </c>
      <c r="K309" s="19"/>
      <c r="N309" s="19"/>
      <c r="O309" s="19"/>
      <c r="P309" s="19"/>
      <c r="Q309" s="19"/>
      <c r="R309" s="19"/>
      <c r="S309" s="19"/>
      <c r="T309" s="19"/>
    </row>
    <row r="310" spans="1:29" x14ac:dyDescent="0.25">
      <c r="B310" t="s">
        <v>23</v>
      </c>
      <c r="C310" s="19" t="s">
        <v>34</v>
      </c>
      <c r="D310" s="19" t="s">
        <v>34</v>
      </c>
      <c r="E310" s="19" t="s">
        <v>34</v>
      </c>
      <c r="F310" s="19" t="s">
        <v>34</v>
      </c>
      <c r="G310" s="19"/>
      <c r="H310" s="19" t="s">
        <v>34</v>
      </c>
      <c r="I310" s="19" t="s">
        <v>34</v>
      </c>
      <c r="K310" s="19"/>
      <c r="N310" s="19"/>
      <c r="O310" s="19"/>
      <c r="P310" s="19"/>
      <c r="Q310" s="19"/>
      <c r="R310" s="19"/>
      <c r="S310" s="19"/>
      <c r="T310" s="19"/>
    </row>
    <row r="311" spans="1:29" x14ac:dyDescent="0.25">
      <c r="B311" t="s">
        <v>14</v>
      </c>
      <c r="C311" s="19"/>
      <c r="D311" s="19"/>
      <c r="E311" s="19"/>
      <c r="F311" s="19"/>
      <c r="G311" s="19"/>
      <c r="H311" s="19"/>
      <c r="I311" s="19"/>
      <c r="K311" s="19"/>
      <c r="N311" s="19">
        <v>4883</v>
      </c>
      <c r="O311" s="19">
        <v>10461</v>
      </c>
      <c r="P311" s="19">
        <v>4942</v>
      </c>
      <c r="Q311" s="19"/>
      <c r="R311" s="19"/>
      <c r="S311" s="19">
        <v>2157</v>
      </c>
      <c r="T311" s="19">
        <v>294</v>
      </c>
      <c r="V311">
        <f t="shared" ref="V311:AB311" si="146">V308+V309+V310</f>
        <v>8</v>
      </c>
      <c r="W311">
        <f t="shared" si="146"/>
        <v>141</v>
      </c>
      <c r="X311">
        <f t="shared" si="146"/>
        <v>45</v>
      </c>
      <c r="Z311">
        <f t="shared" si="146"/>
        <v>0</v>
      </c>
      <c r="AB311">
        <f t="shared" si="146"/>
        <v>130</v>
      </c>
    </row>
    <row r="312" spans="1:29" x14ac:dyDescent="0.25">
      <c r="B312" t="s">
        <v>74</v>
      </c>
      <c r="C312" s="19"/>
      <c r="D312" s="19"/>
      <c r="E312" s="19"/>
      <c r="F312" s="19"/>
      <c r="G312" s="19"/>
      <c r="H312" s="19"/>
      <c r="I312" s="19"/>
      <c r="K312" s="19"/>
      <c r="N312" s="11">
        <f>N311/(SUM($N311:$T311))</f>
        <v>0.214760082684611</v>
      </c>
      <c r="O312" s="11">
        <f>O311/(SUM($N311:$T311))</f>
        <v>0.46008708272859217</v>
      </c>
      <c r="P312" s="11">
        <f>P311/(SUM($N311:$T311))</f>
        <v>0.2173549720719532</v>
      </c>
      <c r="Q312" s="11"/>
      <c r="R312" s="11"/>
      <c r="S312" s="11">
        <f>S311/(SUM($N311:$T311))</f>
        <v>9.4867396754189204E-2</v>
      </c>
      <c r="T312" s="11">
        <f>T311/(SUM($N311:$T311))</f>
        <v>1.2930465760654439E-2</v>
      </c>
    </row>
    <row r="313" spans="1:29" x14ac:dyDescent="0.25">
      <c r="A313">
        <v>1994</v>
      </c>
      <c r="B313" t="s">
        <v>17</v>
      </c>
      <c r="C313" s="19">
        <v>1835</v>
      </c>
      <c r="D313" s="19">
        <v>1917</v>
      </c>
      <c r="E313" s="19">
        <v>1633</v>
      </c>
      <c r="F313" s="19">
        <v>220</v>
      </c>
      <c r="G313" s="19"/>
      <c r="H313" s="19">
        <v>229</v>
      </c>
      <c r="I313" s="19"/>
      <c r="K313" s="19"/>
      <c r="N313" s="19"/>
      <c r="O313" s="19"/>
      <c r="P313" s="19"/>
      <c r="Q313" s="19"/>
      <c r="R313" s="19"/>
      <c r="S313" s="19"/>
      <c r="T313" s="19"/>
    </row>
    <row r="314" spans="1:29" x14ac:dyDescent="0.25">
      <c r="B314" t="s">
        <v>18</v>
      </c>
      <c r="C314" s="19">
        <v>755</v>
      </c>
      <c r="D314" s="19">
        <v>849</v>
      </c>
      <c r="E314" s="19">
        <v>666</v>
      </c>
      <c r="F314" s="19">
        <v>146</v>
      </c>
      <c r="G314" s="19"/>
      <c r="H314" s="19">
        <v>164</v>
      </c>
      <c r="I314" s="19"/>
      <c r="K314" s="19"/>
      <c r="N314" s="19">
        <v>519</v>
      </c>
      <c r="O314" s="19">
        <v>1581</v>
      </c>
      <c r="P314" s="19">
        <v>338</v>
      </c>
      <c r="Q314" s="19"/>
      <c r="R314" s="19"/>
      <c r="S314" s="19">
        <v>43</v>
      </c>
      <c r="T314" s="19"/>
      <c r="V314">
        <v>1</v>
      </c>
      <c r="W314">
        <v>23</v>
      </c>
      <c r="X314">
        <v>0</v>
      </c>
      <c r="Z314">
        <v>0</v>
      </c>
      <c r="AB314">
        <v>12</v>
      </c>
    </row>
    <row r="315" spans="1:29" x14ac:dyDescent="0.25">
      <c r="B315" t="s">
        <v>19</v>
      </c>
      <c r="C315" s="19"/>
      <c r="D315" s="19"/>
      <c r="E315" s="19"/>
      <c r="F315" s="19"/>
      <c r="G315" s="19"/>
      <c r="H315" s="19"/>
      <c r="I315" s="19"/>
      <c r="K315" s="19"/>
      <c r="N315" s="19"/>
      <c r="O315" s="19"/>
      <c r="P315" s="19"/>
      <c r="Q315" s="19"/>
      <c r="R315" s="19"/>
      <c r="S315" s="19"/>
      <c r="T315" s="19"/>
    </row>
    <row r="316" spans="1:29" x14ac:dyDescent="0.25">
      <c r="B316" t="s">
        <v>20</v>
      </c>
      <c r="C316" s="19"/>
      <c r="D316" s="19"/>
      <c r="E316" s="19"/>
      <c r="F316" s="19"/>
      <c r="G316" s="19"/>
      <c r="H316" s="19"/>
      <c r="I316" s="19"/>
      <c r="K316" s="19"/>
      <c r="N316" s="19"/>
      <c r="O316" s="19"/>
      <c r="P316" s="19"/>
      <c r="Q316" s="19"/>
      <c r="R316" s="19"/>
      <c r="S316" s="19"/>
      <c r="T316" s="19"/>
    </row>
    <row r="317" spans="1:29" x14ac:dyDescent="0.25">
      <c r="B317" t="s">
        <v>21</v>
      </c>
      <c r="C317" s="19">
        <v>1598</v>
      </c>
      <c r="D317" s="19">
        <v>1665</v>
      </c>
      <c r="E317" s="19">
        <v>1460</v>
      </c>
      <c r="F317" s="19">
        <v>201</v>
      </c>
      <c r="G317" s="19"/>
      <c r="H317" s="19">
        <v>304</v>
      </c>
      <c r="I317" s="19"/>
      <c r="K317" s="19"/>
      <c r="N317" s="19"/>
      <c r="O317" s="19"/>
      <c r="P317" s="19"/>
      <c r="Q317" s="19"/>
      <c r="R317" s="19"/>
      <c r="S317" s="19"/>
      <c r="T317" s="19"/>
      <c r="U317" t="s">
        <v>38</v>
      </c>
      <c r="V317">
        <v>65</v>
      </c>
      <c r="W317">
        <v>70</v>
      </c>
      <c r="X317">
        <v>30</v>
      </c>
      <c r="Z317">
        <v>0</v>
      </c>
      <c r="AB317">
        <v>125</v>
      </c>
      <c r="AC317">
        <f>SUM(V317:AB317)</f>
        <v>290</v>
      </c>
    </row>
    <row r="318" spans="1:29" s="10" customFormat="1" x14ac:dyDescent="0.25">
      <c r="B318" s="10" t="s">
        <v>24</v>
      </c>
      <c r="C318" s="20">
        <f>SUM(C313:C317)</f>
        <v>4188</v>
      </c>
      <c r="D318" s="20">
        <f>SUM(D313:D317)</f>
        <v>4431</v>
      </c>
      <c r="E318" s="20">
        <f>SUM(E313:E317)</f>
        <v>3759</v>
      </c>
      <c r="F318" s="20">
        <f>SUM(F313:F317)</f>
        <v>567</v>
      </c>
      <c r="G318" s="20"/>
      <c r="H318" s="20">
        <f>SUM(H313:H317)</f>
        <v>697</v>
      </c>
      <c r="I318" s="20"/>
      <c r="K318" s="20"/>
      <c r="N318" s="20">
        <f>SUM(N313:N317)</f>
        <v>519</v>
      </c>
      <c r="O318" s="20">
        <f>SUM(O313:O317)</f>
        <v>1581</v>
      </c>
      <c r="P318" s="20">
        <f>SUM(P313:P317)</f>
        <v>338</v>
      </c>
      <c r="Q318" s="20"/>
      <c r="R318" s="20"/>
      <c r="S318" s="20">
        <f>SUM(S313:S317)</f>
        <v>43</v>
      </c>
      <c r="T318" s="20"/>
      <c r="V318" s="10">
        <f>SUM(V313:V317)</f>
        <v>66</v>
      </c>
      <c r="W318" s="10">
        <f>SUM(W313:W317)</f>
        <v>93</v>
      </c>
      <c r="X318" s="10">
        <f>SUM(X313:X317)</f>
        <v>30</v>
      </c>
      <c r="Z318" s="10">
        <f>SUM(Z313:Z317)</f>
        <v>0</v>
      </c>
      <c r="AB318" s="10">
        <f>SUM(AB313:AB317)</f>
        <v>137</v>
      </c>
    </row>
    <row r="319" spans="1:29" x14ac:dyDescent="0.25">
      <c r="B319" t="s">
        <v>22</v>
      </c>
      <c r="C319" s="19"/>
      <c r="D319" s="19"/>
      <c r="E319" s="19"/>
      <c r="F319" s="19"/>
      <c r="G319" s="19"/>
      <c r="H319" s="19"/>
      <c r="I319" s="19"/>
      <c r="K319" s="19"/>
      <c r="N319" s="19"/>
      <c r="O319" s="19"/>
      <c r="P319" s="19"/>
      <c r="Q319" s="19"/>
      <c r="R319" s="19"/>
      <c r="S319" s="19"/>
      <c r="T319" s="19"/>
    </row>
    <row r="320" spans="1:29" x14ac:dyDescent="0.25">
      <c r="B320" t="s">
        <v>23</v>
      </c>
      <c r="C320" s="19"/>
      <c r="D320" s="19"/>
      <c r="E320" s="19"/>
      <c r="F320" s="19"/>
      <c r="G320" s="19"/>
      <c r="H320" s="19"/>
      <c r="I320" s="19"/>
      <c r="K320" s="19"/>
      <c r="N320" s="19"/>
      <c r="O320" s="19"/>
      <c r="P320" s="19"/>
      <c r="Q320" s="19"/>
      <c r="R320" s="19"/>
      <c r="S320" s="19"/>
      <c r="T320" s="19"/>
    </row>
    <row r="321" spans="1:29" x14ac:dyDescent="0.25">
      <c r="B321" t="s">
        <v>14</v>
      </c>
      <c r="C321" s="19">
        <f t="shared" ref="C321:I321" si="147">C318+C319+C320</f>
        <v>4188</v>
      </c>
      <c r="D321" s="19">
        <f t="shared" si="147"/>
        <v>4431</v>
      </c>
      <c r="E321" s="19">
        <f t="shared" si="147"/>
        <v>3759</v>
      </c>
      <c r="F321" s="19">
        <f t="shared" si="147"/>
        <v>567</v>
      </c>
      <c r="G321" s="19"/>
      <c r="H321" s="19">
        <f t="shared" si="147"/>
        <v>697</v>
      </c>
      <c r="I321" s="19">
        <f t="shared" si="147"/>
        <v>0</v>
      </c>
      <c r="K321" s="19"/>
      <c r="N321" s="19">
        <v>7286</v>
      </c>
      <c r="O321" s="19">
        <v>9257</v>
      </c>
      <c r="P321" s="19">
        <v>4551</v>
      </c>
      <c r="Q321" s="19"/>
      <c r="R321" s="19"/>
      <c r="S321" s="19">
        <v>2941</v>
      </c>
      <c r="T321" s="19">
        <v>392</v>
      </c>
      <c r="V321">
        <f t="shared" ref="V321:AB321" si="148">V318+V319+V320</f>
        <v>66</v>
      </c>
      <c r="W321">
        <f t="shared" si="148"/>
        <v>93</v>
      </c>
      <c r="X321">
        <f t="shared" si="148"/>
        <v>30</v>
      </c>
      <c r="Z321">
        <f t="shared" si="148"/>
        <v>0</v>
      </c>
      <c r="AB321">
        <f t="shared" si="148"/>
        <v>137</v>
      </c>
    </row>
    <row r="322" spans="1:29" x14ac:dyDescent="0.25">
      <c r="B322" t="s">
        <v>74</v>
      </c>
      <c r="E322" t="s">
        <v>36</v>
      </c>
      <c r="H322" t="s">
        <v>35</v>
      </c>
      <c r="N322" s="11">
        <f>N321/(SUM($N321:$T321))</f>
        <v>0.29827649731854095</v>
      </c>
      <c r="O322" s="11">
        <f>O321/(SUM($N321:$T321))</f>
        <v>0.3789658983911246</v>
      </c>
      <c r="P322" s="11">
        <f>P321/(SUM($N321:$T321))</f>
        <v>0.18631023048266263</v>
      </c>
      <c r="Q322" s="11"/>
      <c r="R322" s="11"/>
      <c r="S322" s="11">
        <f>S321/(SUM($N321:$T321))</f>
        <v>0.1203995578662955</v>
      </c>
      <c r="T322" s="11">
        <f>T321/(SUM($N321:$T321))</f>
        <v>1.6047815941376345E-2</v>
      </c>
    </row>
    <row r="323" spans="1:29" x14ac:dyDescent="0.25">
      <c r="A323">
        <v>1993</v>
      </c>
      <c r="B323" t="s">
        <v>37</v>
      </c>
      <c r="N323" s="19">
        <v>966</v>
      </c>
      <c r="O323" s="19">
        <v>1389</v>
      </c>
      <c r="P323" s="19">
        <v>867</v>
      </c>
      <c r="Q323" s="19"/>
      <c r="R323" s="19"/>
      <c r="S323" s="19">
        <v>237</v>
      </c>
      <c r="T323" s="19">
        <v>41</v>
      </c>
      <c r="V323">
        <v>1</v>
      </c>
      <c r="W323">
        <v>14</v>
      </c>
      <c r="X323">
        <v>12</v>
      </c>
      <c r="Z323">
        <v>9</v>
      </c>
      <c r="AB323">
        <v>0</v>
      </c>
    </row>
    <row r="324" spans="1:29" x14ac:dyDescent="0.25">
      <c r="B324" t="s">
        <v>14</v>
      </c>
      <c r="N324" s="19">
        <v>7802</v>
      </c>
      <c r="O324" s="19">
        <v>9213</v>
      </c>
      <c r="P324" s="19">
        <v>4123</v>
      </c>
      <c r="Q324" s="19"/>
      <c r="R324" s="19"/>
      <c r="S324" s="19">
        <v>2948</v>
      </c>
      <c r="T324" s="19">
        <v>358</v>
      </c>
    </row>
    <row r="325" spans="1:29" x14ac:dyDescent="0.25">
      <c r="B325" t="s">
        <v>74</v>
      </c>
      <c r="N325" s="11">
        <f>N324/(SUM($N324:$T324))</f>
        <v>0.31917853051873668</v>
      </c>
      <c r="O325" s="11">
        <f>O324/(SUM($N324:$T324))</f>
        <v>0.37690230731467844</v>
      </c>
      <c r="P325" s="11">
        <f>P324/(SUM($N324:$T324))</f>
        <v>0.1686712485681558</v>
      </c>
      <c r="Q325" s="11"/>
      <c r="R325" s="11"/>
      <c r="S325" s="11">
        <f>S324/(SUM($N324:$T324))</f>
        <v>0.12060219276714122</v>
      </c>
      <c r="T325" s="11">
        <f>T324/(SUM($N324:$T324))</f>
        <v>1.4645720831287842E-2</v>
      </c>
    </row>
    <row r="326" spans="1:29" x14ac:dyDescent="0.25">
      <c r="A326">
        <v>1992</v>
      </c>
      <c r="B326" t="s">
        <v>18</v>
      </c>
      <c r="N326" s="19">
        <v>556</v>
      </c>
      <c r="O326" s="19">
        <v>1612</v>
      </c>
      <c r="P326" s="19">
        <v>273</v>
      </c>
      <c r="Q326" s="19"/>
      <c r="R326" s="19"/>
      <c r="S326" s="19">
        <v>40</v>
      </c>
      <c r="T326" s="19"/>
      <c r="V326">
        <v>1</v>
      </c>
      <c r="W326">
        <v>24</v>
      </c>
      <c r="X326">
        <v>0</v>
      </c>
      <c r="Z326">
        <v>0</v>
      </c>
      <c r="AB326">
        <v>11</v>
      </c>
    </row>
    <row r="327" spans="1:29" x14ac:dyDescent="0.25">
      <c r="B327" t="s">
        <v>40</v>
      </c>
      <c r="N327" s="19"/>
      <c r="O327" s="19"/>
      <c r="P327" s="19"/>
      <c r="Q327" s="19"/>
      <c r="R327" s="19"/>
      <c r="S327" s="19"/>
      <c r="T327" s="19"/>
      <c r="V327">
        <v>76</v>
      </c>
      <c r="W327">
        <v>74</v>
      </c>
      <c r="X327">
        <v>21</v>
      </c>
      <c r="Z327">
        <v>0</v>
      </c>
      <c r="AB327">
        <v>125</v>
      </c>
      <c r="AC327">
        <f>SUM(V327:AB327)</f>
        <v>296</v>
      </c>
    </row>
    <row r="328" spans="1:29" x14ac:dyDescent="0.25">
      <c r="B328" t="s">
        <v>14</v>
      </c>
      <c r="N328" s="19">
        <v>8288</v>
      </c>
      <c r="O328" s="19">
        <v>9102</v>
      </c>
      <c r="P328" s="19">
        <v>3728</v>
      </c>
      <c r="Q328" s="19"/>
      <c r="R328" s="19"/>
      <c r="S328" s="19">
        <v>2977</v>
      </c>
      <c r="T328" s="19">
        <v>334</v>
      </c>
    </row>
    <row r="329" spans="1:29" x14ac:dyDescent="0.25">
      <c r="B329" t="s">
        <v>74</v>
      </c>
      <c r="N329" s="11">
        <f>N328/(SUM($N328:$T328))</f>
        <v>0.3392689017151746</v>
      </c>
      <c r="O329" s="11">
        <f>O328/(SUM($N328:$T328))</f>
        <v>0.37258995456220068</v>
      </c>
      <c r="P329" s="11">
        <f>P328/(SUM($N328:$T328))</f>
        <v>0.15260550984485652</v>
      </c>
      <c r="Q329" s="11"/>
      <c r="R329" s="11"/>
      <c r="S329" s="11">
        <f>S328/(SUM($N328:$T328))</f>
        <v>0.12186335912235458</v>
      </c>
      <c r="T329" s="11">
        <f>T328/(SUM($N328:$T328))</f>
        <v>1.3672274755413648E-2</v>
      </c>
    </row>
    <row r="330" spans="1:29" x14ac:dyDescent="0.25">
      <c r="A330">
        <v>1991</v>
      </c>
      <c r="B330" t="s">
        <v>18</v>
      </c>
      <c r="N330" s="19">
        <v>460</v>
      </c>
      <c r="O330" s="19">
        <v>1748</v>
      </c>
      <c r="P330" s="19">
        <v>244</v>
      </c>
      <c r="Q330" s="19"/>
      <c r="R330" s="19"/>
      <c r="S330" s="19">
        <v>29</v>
      </c>
      <c r="T330" s="19"/>
      <c r="V330">
        <v>1</v>
      </c>
      <c r="W330">
        <v>32</v>
      </c>
      <c r="X330">
        <v>0</v>
      </c>
      <c r="Z330">
        <v>0</v>
      </c>
      <c r="AB330">
        <v>3</v>
      </c>
    </row>
    <row r="331" spans="1:29" x14ac:dyDescent="0.25">
      <c r="B331" t="s">
        <v>40</v>
      </c>
      <c r="N331" s="19"/>
      <c r="O331" s="19"/>
      <c r="P331" s="19"/>
      <c r="Q331" s="19"/>
      <c r="R331" s="19"/>
      <c r="S331" s="19"/>
      <c r="T331" s="19"/>
      <c r="V331">
        <v>72</v>
      </c>
      <c r="W331">
        <v>78</v>
      </c>
      <c r="X331">
        <v>20</v>
      </c>
      <c r="Z331">
        <v>0</v>
      </c>
      <c r="AB331">
        <v>126</v>
      </c>
      <c r="AC331">
        <f>SUM(V331:AB331)</f>
        <v>296</v>
      </c>
    </row>
    <row r="332" spans="1:29" x14ac:dyDescent="0.25">
      <c r="B332" t="s">
        <v>39</v>
      </c>
      <c r="N332" s="19"/>
      <c r="O332" s="19"/>
      <c r="P332" s="19"/>
      <c r="Q332" s="19"/>
      <c r="R332" s="19"/>
      <c r="S332" s="19"/>
      <c r="T332" s="19"/>
      <c r="W332">
        <v>20</v>
      </c>
      <c r="X332">
        <v>0</v>
      </c>
      <c r="Z332">
        <v>0</v>
      </c>
      <c r="AB332">
        <v>17</v>
      </c>
    </row>
    <row r="333" spans="1:29" x14ac:dyDescent="0.25">
      <c r="B333" t="s">
        <v>14</v>
      </c>
      <c r="N333" s="19">
        <v>7985</v>
      </c>
      <c r="O333" s="19">
        <v>9504</v>
      </c>
      <c r="P333" s="19">
        <v>3672</v>
      </c>
      <c r="Q333" s="19"/>
      <c r="R333" s="19"/>
      <c r="S333" s="19">
        <v>2997</v>
      </c>
      <c r="T333" s="19">
        <v>292</v>
      </c>
    </row>
    <row r="334" spans="1:29" x14ac:dyDescent="0.25">
      <c r="B334" t="s">
        <v>74</v>
      </c>
      <c r="N334" s="11">
        <f>N333/(SUM($N333:$T333))</f>
        <v>0.32658486707566464</v>
      </c>
      <c r="O334" s="11">
        <f>O333/(SUM($N333:$T333))</f>
        <v>0.38871165644171779</v>
      </c>
      <c r="P334" s="11">
        <f>P333/(SUM($N333:$T333))</f>
        <v>0.15018404907975461</v>
      </c>
      <c r="Q334" s="11"/>
      <c r="R334" s="11"/>
      <c r="S334" s="11">
        <f>S333/(SUM($N333:$T333))</f>
        <v>0.12257668711656441</v>
      </c>
      <c r="T334" s="11">
        <f>T333/(SUM($N333:$T333))</f>
        <v>1.1942740286298568E-2</v>
      </c>
    </row>
    <row r="335" spans="1:29" x14ac:dyDescent="0.25">
      <c r="A335">
        <v>1990</v>
      </c>
      <c r="B335" t="s">
        <v>18</v>
      </c>
      <c r="N335" s="19">
        <v>505</v>
      </c>
      <c r="O335" s="19">
        <v>1721</v>
      </c>
      <c r="P335" s="19">
        <v>238</v>
      </c>
      <c r="Q335" s="19"/>
      <c r="R335" s="19"/>
      <c r="S335" s="19">
        <v>17</v>
      </c>
      <c r="T335" s="19"/>
      <c r="V335">
        <v>2</v>
      </c>
      <c r="W335">
        <v>31</v>
      </c>
      <c r="X335">
        <v>0</v>
      </c>
      <c r="Z335">
        <v>0</v>
      </c>
      <c r="AB335">
        <v>3</v>
      </c>
    </row>
    <row r="336" spans="1:29" x14ac:dyDescent="0.25">
      <c r="B336" t="s">
        <v>40</v>
      </c>
      <c r="N336" s="19"/>
      <c r="O336" s="19"/>
      <c r="P336" s="19"/>
      <c r="Q336" s="19"/>
      <c r="R336" s="19"/>
      <c r="S336" s="19"/>
      <c r="T336" s="19"/>
      <c r="V336">
        <v>116</v>
      </c>
      <c r="W336">
        <v>65</v>
      </c>
      <c r="X336">
        <v>5</v>
      </c>
      <c r="Z336">
        <v>0</v>
      </c>
      <c r="AB336">
        <v>110</v>
      </c>
      <c r="AC336">
        <f>SUM(V336:AB336)</f>
        <v>296</v>
      </c>
    </row>
    <row r="337" spans="1:29" x14ac:dyDescent="0.25">
      <c r="B337" t="s">
        <v>14</v>
      </c>
      <c r="N337" s="19">
        <v>9020</v>
      </c>
      <c r="O337" s="19">
        <v>8920</v>
      </c>
      <c r="P337" s="19">
        <v>3265</v>
      </c>
      <c r="Q337" s="19"/>
      <c r="R337" s="19"/>
      <c r="S337" s="19">
        <v>2968</v>
      </c>
      <c r="T337" s="19">
        <v>264</v>
      </c>
    </row>
    <row r="338" spans="1:29" x14ac:dyDescent="0.25">
      <c r="B338" t="s">
        <v>74</v>
      </c>
      <c r="N338" s="11">
        <f>N337/(SUM($N337:$T337))</f>
        <v>0.3691124115071408</v>
      </c>
      <c r="O338" s="11">
        <f>O337/(SUM($N337:$T337))</f>
        <v>0.3650202561689242</v>
      </c>
      <c r="P338" s="11">
        <f>P337/(SUM($N337:$T337))</f>
        <v>0.13360887179277325</v>
      </c>
      <c r="Q338" s="11"/>
      <c r="R338" s="11"/>
      <c r="S338" s="11">
        <f>S337/(SUM($N337:$T337))</f>
        <v>0.12145517043826984</v>
      </c>
      <c r="T338" s="11">
        <f>T337/(SUM($N337:$T337))</f>
        <v>1.0803290092891927E-2</v>
      </c>
    </row>
    <row r="339" spans="1:29" x14ac:dyDescent="0.25">
      <c r="A339">
        <v>1989</v>
      </c>
      <c r="B339" t="s">
        <v>37</v>
      </c>
      <c r="N339" s="19">
        <v>1456</v>
      </c>
      <c r="O339" s="19">
        <v>1297</v>
      </c>
      <c r="P339" s="19">
        <v>458</v>
      </c>
      <c r="Q339" s="19"/>
      <c r="R339" s="19"/>
      <c r="S339" s="19">
        <v>273</v>
      </c>
      <c r="T339" s="19">
        <v>25</v>
      </c>
    </row>
    <row r="340" spans="1:29" x14ac:dyDescent="0.25">
      <c r="B340" t="s">
        <v>14</v>
      </c>
      <c r="N340" s="19">
        <v>9242</v>
      </c>
      <c r="O340" s="19">
        <v>8636</v>
      </c>
      <c r="P340" s="19">
        <v>3343</v>
      </c>
      <c r="Q340" s="19"/>
      <c r="R340" s="19"/>
      <c r="S340" s="19">
        <v>2958</v>
      </c>
      <c r="T340" s="19">
        <v>258</v>
      </c>
      <c r="V340">
        <v>17</v>
      </c>
      <c r="W340">
        <v>13</v>
      </c>
      <c r="X340">
        <v>0</v>
      </c>
      <c r="Z340">
        <v>7</v>
      </c>
    </row>
    <row r="341" spans="1:29" x14ac:dyDescent="0.25">
      <c r="B341" t="s">
        <v>74</v>
      </c>
      <c r="N341" s="11">
        <f>N340/(SUM($N340:$T340))</f>
        <v>0.37819699635798176</v>
      </c>
      <c r="O341" s="11">
        <f>O340/(SUM($N340:$T340))</f>
        <v>0.35339853500838891</v>
      </c>
      <c r="P341" s="11">
        <f>P340/(SUM($N340:$T340))</f>
        <v>0.13680075295658223</v>
      </c>
      <c r="Q341" s="11"/>
      <c r="R341" s="11"/>
      <c r="S341" s="11">
        <f>S340/(SUM($N340:$T340))</f>
        <v>0.12104595490444817</v>
      </c>
      <c r="T341" s="11">
        <f>T340/(SUM($N340:$T340))</f>
        <v>1.0557760772598929E-2</v>
      </c>
    </row>
    <row r="342" spans="1:29" x14ac:dyDescent="0.25">
      <c r="A342">
        <v>1988</v>
      </c>
      <c r="B342" t="s">
        <v>18</v>
      </c>
      <c r="N342" s="19">
        <v>537</v>
      </c>
      <c r="O342" s="19">
        <v>1656</v>
      </c>
      <c r="P342" s="19">
        <v>268</v>
      </c>
      <c r="Q342" s="19"/>
      <c r="R342" s="19"/>
      <c r="S342" s="19">
        <v>20</v>
      </c>
      <c r="T342" s="19"/>
      <c r="V342">
        <v>2</v>
      </c>
      <c r="W342">
        <v>28</v>
      </c>
      <c r="X342">
        <v>0</v>
      </c>
      <c r="Z342">
        <v>0</v>
      </c>
      <c r="AB342">
        <v>6</v>
      </c>
    </row>
    <row r="343" spans="1:29" x14ac:dyDescent="0.25">
      <c r="B343" t="s">
        <v>40</v>
      </c>
      <c r="N343" s="19"/>
      <c r="O343" s="19"/>
      <c r="P343" s="19"/>
      <c r="Q343" s="19"/>
      <c r="R343" s="19"/>
      <c r="S343" s="19"/>
      <c r="T343" s="19"/>
      <c r="V343">
        <v>128</v>
      </c>
      <c r="W343">
        <v>58</v>
      </c>
      <c r="X343">
        <v>8</v>
      </c>
      <c r="Z343">
        <v>0</v>
      </c>
      <c r="AB343">
        <v>102</v>
      </c>
      <c r="AC343">
        <f>SUM(V343:AB343)</f>
        <v>296</v>
      </c>
    </row>
    <row r="344" spans="1:29" x14ac:dyDescent="0.25">
      <c r="B344" t="s">
        <v>14</v>
      </c>
      <c r="N344" s="19">
        <v>9150</v>
      </c>
      <c r="O344" s="19">
        <v>8601</v>
      </c>
      <c r="P344" s="19">
        <v>3518</v>
      </c>
      <c r="Q344" s="19"/>
      <c r="R344" s="19"/>
      <c r="S344" s="19">
        <v>2968</v>
      </c>
      <c r="T344" s="19">
        <v>254</v>
      </c>
    </row>
    <row r="345" spans="1:29" x14ac:dyDescent="0.25">
      <c r="B345" t="s">
        <v>74</v>
      </c>
      <c r="N345" s="11">
        <f>N344/(SUM($N344:$T344))</f>
        <v>0.37360663100730879</v>
      </c>
      <c r="O345" s="11">
        <f>O344/(SUM($N344:$T344))</f>
        <v>0.35119023314687026</v>
      </c>
      <c r="P345" s="11">
        <f>P344/(SUM($N344:$T344))</f>
        <v>0.14364460414029642</v>
      </c>
      <c r="Q345" s="11"/>
      <c r="R345" s="11"/>
      <c r="S345" s="11">
        <f>S344/(SUM($N344:$T344))</f>
        <v>0.12118737495406476</v>
      </c>
      <c r="T345" s="11">
        <f>T344/(SUM($N344:$T344))</f>
        <v>1.037115675145972E-2</v>
      </c>
    </row>
    <row r="346" spans="1:29" x14ac:dyDescent="0.25">
      <c r="A346">
        <v>1987</v>
      </c>
      <c r="B346" t="s">
        <v>18</v>
      </c>
      <c r="N346" s="19">
        <v>552</v>
      </c>
      <c r="O346" s="19">
        <v>1632</v>
      </c>
      <c r="P346" s="19">
        <v>271</v>
      </c>
      <c r="Q346" s="19"/>
      <c r="R346" s="19"/>
      <c r="S346" s="19">
        <v>26</v>
      </c>
      <c r="T346" s="19"/>
      <c r="V346">
        <v>1</v>
      </c>
      <c r="W346">
        <v>27</v>
      </c>
      <c r="X346">
        <v>0</v>
      </c>
      <c r="Z346">
        <v>0</v>
      </c>
      <c r="AB346">
        <v>8</v>
      </c>
    </row>
    <row r="347" spans="1:29" x14ac:dyDescent="0.25">
      <c r="B347" t="s">
        <v>40</v>
      </c>
      <c r="N347" s="19"/>
      <c r="O347" s="19"/>
      <c r="P347" s="19"/>
      <c r="Q347" s="19"/>
      <c r="R347" s="19"/>
      <c r="S347" s="19"/>
      <c r="T347" s="19"/>
      <c r="V347">
        <v>123</v>
      </c>
      <c r="W347">
        <v>56</v>
      </c>
      <c r="X347">
        <v>9</v>
      </c>
      <c r="Z347">
        <v>0</v>
      </c>
      <c r="AB347">
        <v>108</v>
      </c>
      <c r="AC347">
        <f>SUM(V347:AB347)</f>
        <v>296</v>
      </c>
    </row>
    <row r="348" spans="1:29" x14ac:dyDescent="0.25">
      <c r="B348" t="s">
        <v>39</v>
      </c>
      <c r="N348" s="19"/>
      <c r="O348" s="19"/>
      <c r="P348" s="19"/>
      <c r="Q348" s="19"/>
      <c r="R348" s="19"/>
      <c r="S348" s="19"/>
      <c r="T348" s="19"/>
      <c r="W348">
        <v>2</v>
      </c>
      <c r="X348">
        <v>18</v>
      </c>
      <c r="Z348">
        <v>0</v>
      </c>
      <c r="AB348">
        <v>17</v>
      </c>
    </row>
    <row r="349" spans="1:29" x14ac:dyDescent="0.25">
      <c r="B349" t="s">
        <v>14</v>
      </c>
      <c r="N349" s="19">
        <v>9141</v>
      </c>
      <c r="O349" s="19">
        <v>8525</v>
      </c>
      <c r="P349" s="19">
        <v>3640</v>
      </c>
      <c r="Q349" s="19"/>
      <c r="R349" s="19"/>
      <c r="S349" s="19">
        <v>2974</v>
      </c>
      <c r="T349" s="19">
        <v>203</v>
      </c>
    </row>
    <row r="350" spans="1:29" x14ac:dyDescent="0.25">
      <c r="B350" t="s">
        <v>74</v>
      </c>
      <c r="N350" s="11">
        <f>N349/(SUM($N349:$T349))</f>
        <v>0.37336110770738878</v>
      </c>
      <c r="O350" s="11">
        <f>O349/(SUM($N349:$T349))</f>
        <v>0.34820079238655394</v>
      </c>
      <c r="P350" s="11">
        <f>P349/(SUM($N349:$T349))</f>
        <v>0.14867459053220602</v>
      </c>
      <c r="Q350" s="11"/>
      <c r="R350" s="11"/>
      <c r="S350" s="11">
        <f>S349/(SUM($N349:$T349))</f>
        <v>0.12147204182493976</v>
      </c>
      <c r="T350" s="11">
        <f>T349/(SUM($N349:$T349))</f>
        <v>8.2914675489114895E-3</v>
      </c>
    </row>
    <row r="351" spans="1:29" x14ac:dyDescent="0.25">
      <c r="A351">
        <v>1986</v>
      </c>
      <c r="B351" t="s">
        <v>18</v>
      </c>
      <c r="N351" s="19">
        <v>560</v>
      </c>
      <c r="O351" s="19">
        <v>1663</v>
      </c>
      <c r="P351" s="19">
        <v>228</v>
      </c>
      <c r="Q351" s="19"/>
      <c r="R351" s="19"/>
      <c r="S351" s="19">
        <v>30</v>
      </c>
      <c r="T351" s="19"/>
      <c r="V351">
        <v>1</v>
      </c>
      <c r="W351">
        <v>27</v>
      </c>
      <c r="X351">
        <v>0</v>
      </c>
      <c r="Z351">
        <v>0</v>
      </c>
      <c r="AB351">
        <v>8</v>
      </c>
    </row>
    <row r="352" spans="1:29" x14ac:dyDescent="0.25">
      <c r="B352" t="s">
        <v>40</v>
      </c>
      <c r="N352" s="19"/>
      <c r="O352" s="19"/>
      <c r="P352" s="19"/>
      <c r="Q352" s="19"/>
      <c r="R352" s="19"/>
      <c r="S352" s="19"/>
      <c r="T352" s="19"/>
      <c r="V352">
        <v>123</v>
      </c>
      <c r="W352">
        <v>64</v>
      </c>
      <c r="X352">
        <v>5</v>
      </c>
      <c r="Z352">
        <v>0</v>
      </c>
      <c r="AB352">
        <v>104</v>
      </c>
      <c r="AC352">
        <f>SUM(V352:AB352)</f>
        <v>296</v>
      </c>
    </row>
    <row r="353" spans="1:29" x14ac:dyDescent="0.25">
      <c r="B353" t="s">
        <v>14</v>
      </c>
      <c r="N353" s="19">
        <v>9216</v>
      </c>
      <c r="O353" s="19">
        <v>8759</v>
      </c>
      <c r="P353" s="19">
        <v>2971</v>
      </c>
      <c r="Q353" s="19"/>
      <c r="R353" s="19"/>
      <c r="S353" s="19">
        <v>3364</v>
      </c>
      <c r="T353" s="19">
        <v>191</v>
      </c>
    </row>
    <row r="354" spans="1:29" x14ac:dyDescent="0.25">
      <c r="B354" t="s">
        <v>74</v>
      </c>
      <c r="N354" s="11">
        <f>N353/(SUM($N353:$T353))</f>
        <v>0.37614791233010897</v>
      </c>
      <c r="O354" s="11">
        <f>O353/(SUM($N353:$T353))</f>
        <v>0.3574956124239827</v>
      </c>
      <c r="P354" s="11">
        <f>P353/(SUM($N353:$T353))</f>
        <v>0.12126035672013387</v>
      </c>
      <c r="Q354" s="11"/>
      <c r="R354" s="11"/>
      <c r="S354" s="11">
        <f>S353/(SUM($N353:$T353))</f>
        <v>0.13730051834618995</v>
      </c>
      <c r="T354" s="11">
        <f>T353/(SUM($N353:$T353))</f>
        <v>7.7956001795845067E-3</v>
      </c>
    </row>
    <row r="355" spans="1:29" x14ac:dyDescent="0.25">
      <c r="A355">
        <v>1985</v>
      </c>
      <c r="B355" t="s">
        <v>37</v>
      </c>
      <c r="N355" s="19">
        <v>1370</v>
      </c>
      <c r="O355" s="19">
        <v>1269</v>
      </c>
      <c r="P355" s="19">
        <v>640</v>
      </c>
      <c r="Q355" s="19"/>
      <c r="R355" s="19"/>
      <c r="S355" s="19">
        <v>360</v>
      </c>
      <c r="T355" s="19">
        <v>21</v>
      </c>
    </row>
    <row r="356" spans="1:29" x14ac:dyDescent="0.25">
      <c r="B356" t="s">
        <v>14</v>
      </c>
      <c r="N356" s="19">
        <v>10191</v>
      </c>
      <c r="O356" s="19">
        <v>8746</v>
      </c>
      <c r="P356" s="19">
        <v>2633</v>
      </c>
      <c r="Q356" s="19"/>
      <c r="R356" s="19"/>
      <c r="S356" s="19">
        <v>3432</v>
      </c>
      <c r="T356" s="19">
        <v>177</v>
      </c>
      <c r="V356">
        <v>10</v>
      </c>
      <c r="W356">
        <v>9</v>
      </c>
      <c r="X356">
        <v>12</v>
      </c>
      <c r="Z356">
        <v>7</v>
      </c>
    </row>
    <row r="357" spans="1:29" x14ac:dyDescent="0.25">
      <c r="B357" t="s">
        <v>74</v>
      </c>
      <c r="N357" s="11">
        <f>N356/(SUM($N356:$T356))</f>
        <v>0.40474204694388183</v>
      </c>
      <c r="O357" s="11">
        <f>O356/(SUM($N356:$T356))</f>
        <v>0.34735295285754003</v>
      </c>
      <c r="P357" s="11">
        <f>P356/(SUM($N356:$T356))</f>
        <v>0.10457126970888439</v>
      </c>
      <c r="Q357" s="11"/>
      <c r="R357" s="11"/>
      <c r="S357" s="11">
        <f>S356/(SUM($N356:$T356))</f>
        <v>0.13630406290956751</v>
      </c>
      <c r="T357" s="11">
        <f>T356/(SUM($N356:$T356))</f>
        <v>7.0296675801262958E-3</v>
      </c>
    </row>
    <row r="358" spans="1:29" x14ac:dyDescent="0.25">
      <c r="A358">
        <v>1984</v>
      </c>
      <c r="B358" t="s">
        <v>18</v>
      </c>
      <c r="N358" s="19">
        <v>690</v>
      </c>
      <c r="O358" s="19">
        <v>1523</v>
      </c>
      <c r="P358" s="19">
        <v>228</v>
      </c>
      <c r="Q358" s="19"/>
      <c r="R358" s="19"/>
      <c r="S358" s="19">
        <v>40</v>
      </c>
      <c r="T358" s="19"/>
      <c r="V358">
        <v>5</v>
      </c>
      <c r="W358">
        <v>25</v>
      </c>
      <c r="X358">
        <v>0</v>
      </c>
      <c r="Z358">
        <v>0</v>
      </c>
      <c r="AB358">
        <v>6</v>
      </c>
    </row>
    <row r="359" spans="1:29" x14ac:dyDescent="0.25">
      <c r="B359" t="s">
        <v>40</v>
      </c>
      <c r="N359" s="19"/>
      <c r="O359" s="19"/>
      <c r="P359" s="19"/>
      <c r="Q359" s="19"/>
      <c r="R359" s="19"/>
      <c r="S359" s="19"/>
      <c r="T359" s="19"/>
      <c r="V359">
        <v>140</v>
      </c>
      <c r="W359">
        <v>53</v>
      </c>
      <c r="X359">
        <v>3</v>
      </c>
      <c r="Z359">
        <v>0</v>
      </c>
      <c r="AB359">
        <v>100</v>
      </c>
      <c r="AC359">
        <f>SUM(V359:AB359)</f>
        <v>296</v>
      </c>
    </row>
    <row r="360" spans="1:29" x14ac:dyDescent="0.25">
      <c r="B360" t="s">
        <v>14</v>
      </c>
      <c r="N360" s="19">
        <v>10393</v>
      </c>
      <c r="O360" s="19">
        <v>8870</v>
      </c>
      <c r="P360" s="19">
        <v>2331</v>
      </c>
      <c r="Q360" s="19"/>
      <c r="R360" s="19"/>
      <c r="S360" s="19">
        <v>3515</v>
      </c>
      <c r="T360" s="19">
        <v>179</v>
      </c>
    </row>
    <row r="361" spans="1:29" x14ac:dyDescent="0.25">
      <c r="B361" t="s">
        <v>74</v>
      </c>
      <c r="N361" s="11">
        <f>N360/(SUM($N360:$T360))</f>
        <v>0.41098544764315093</v>
      </c>
      <c r="O361" s="11">
        <f>O360/(SUM($N360:$T360))</f>
        <v>0.35075925340082253</v>
      </c>
      <c r="P361" s="11">
        <f>P360/(SUM($N360:$T360))</f>
        <v>9.2178108193609623E-2</v>
      </c>
      <c r="Q361" s="11"/>
      <c r="R361" s="11"/>
      <c r="S361" s="11">
        <f>S360/(SUM($N360:$T360))</f>
        <v>0.13899873457766529</v>
      </c>
      <c r="T361" s="11">
        <f>T360/(SUM($N360:$T360))</f>
        <v>7.0784561847516605E-3</v>
      </c>
    </row>
    <row r="362" spans="1:29" x14ac:dyDescent="0.25">
      <c r="A362">
        <v>1983</v>
      </c>
      <c r="B362" t="s">
        <v>18</v>
      </c>
      <c r="N362" s="19">
        <v>745</v>
      </c>
      <c r="O362" s="19">
        <v>1481</v>
      </c>
      <c r="P362" s="19">
        <v>213</v>
      </c>
      <c r="Q362" s="19"/>
      <c r="R362" s="19"/>
      <c r="S362" s="19">
        <v>39</v>
      </c>
      <c r="T362" s="19"/>
      <c r="V362">
        <v>7</v>
      </c>
      <c r="W362">
        <v>24</v>
      </c>
      <c r="X362">
        <v>0</v>
      </c>
      <c r="Z362">
        <v>0</v>
      </c>
      <c r="AB362">
        <v>5</v>
      </c>
    </row>
    <row r="363" spans="1:29" x14ac:dyDescent="0.25">
      <c r="B363" t="s">
        <v>40</v>
      </c>
      <c r="N363" s="19"/>
      <c r="O363" s="19"/>
      <c r="P363" s="19"/>
      <c r="Q363" s="19"/>
      <c r="R363" s="19"/>
      <c r="S363" s="19"/>
      <c r="T363" s="19"/>
      <c r="V363">
        <v>145</v>
      </c>
      <c r="W363">
        <v>55</v>
      </c>
      <c r="X363">
        <v>3</v>
      </c>
      <c r="Z363">
        <v>0</v>
      </c>
      <c r="AB363">
        <v>93</v>
      </c>
      <c r="AC363">
        <f>SUM(V363:AB363)</f>
        <v>296</v>
      </c>
    </row>
    <row r="364" spans="1:29" x14ac:dyDescent="0.25">
      <c r="B364" t="s">
        <v>39</v>
      </c>
      <c r="N364" s="19"/>
      <c r="O364" s="19"/>
      <c r="P364" s="19"/>
      <c r="Q364" s="19"/>
      <c r="R364" s="19"/>
      <c r="S364" s="19"/>
      <c r="T364" s="19"/>
      <c r="V364">
        <v>3</v>
      </c>
      <c r="W364">
        <v>14</v>
      </c>
      <c r="X364">
        <v>0</v>
      </c>
      <c r="Z364">
        <v>0</v>
      </c>
      <c r="AB364">
        <v>20</v>
      </c>
    </row>
    <row r="365" spans="1:29" x14ac:dyDescent="0.25">
      <c r="B365" t="s">
        <v>14</v>
      </c>
      <c r="N365" s="19">
        <v>10557</v>
      </c>
      <c r="O365" s="19">
        <v>8782</v>
      </c>
      <c r="P365" s="19">
        <v>2171</v>
      </c>
      <c r="Q365" s="19"/>
      <c r="R365" s="19"/>
      <c r="S365" s="19">
        <v>3570</v>
      </c>
      <c r="T365" s="19">
        <v>175</v>
      </c>
    </row>
    <row r="366" spans="1:29" x14ac:dyDescent="0.25">
      <c r="B366" t="s">
        <v>74</v>
      </c>
      <c r="N366" s="11">
        <f>N365/(SUM($N365:$T365))</f>
        <v>0.41801623440902791</v>
      </c>
      <c r="O366" s="11">
        <f>O365/(SUM($N365:$T365))</f>
        <v>0.34773312215402891</v>
      </c>
      <c r="P366" s="11">
        <f>P365/(SUM($N365:$T365))</f>
        <v>8.596317560879034E-2</v>
      </c>
      <c r="Q366" s="11"/>
      <c r="R366" s="11"/>
      <c r="S366" s="11">
        <f>S365/(SUM($N365:$T365))</f>
        <v>0.14135814690160364</v>
      </c>
      <c r="T366" s="11">
        <f>T365/(SUM($N365:$T365))</f>
        <v>6.9293209265491986E-3</v>
      </c>
    </row>
    <row r="367" spans="1:29" x14ac:dyDescent="0.25">
      <c r="A367">
        <v>1982</v>
      </c>
      <c r="B367" t="s">
        <v>40</v>
      </c>
      <c r="N367" s="19"/>
      <c r="O367" s="19"/>
      <c r="P367" s="19"/>
      <c r="Q367" s="19"/>
      <c r="R367" s="19"/>
      <c r="S367" s="19"/>
      <c r="T367" s="19"/>
      <c r="V367">
        <v>139</v>
      </c>
      <c r="W367">
        <v>59</v>
      </c>
      <c r="X367">
        <v>2</v>
      </c>
      <c r="Z367">
        <v>0</v>
      </c>
      <c r="AB367">
        <v>96</v>
      </c>
      <c r="AC367">
        <f>SUM(V367:AB367)</f>
        <v>296</v>
      </c>
    </row>
    <row r="368" spans="1:29" x14ac:dyDescent="0.25">
      <c r="N368" s="19">
        <v>10447</v>
      </c>
      <c r="O368" s="19">
        <v>8774</v>
      </c>
      <c r="P368" s="19">
        <v>1850</v>
      </c>
      <c r="Q368" s="19"/>
      <c r="R368" s="19"/>
      <c r="S368" s="19">
        <v>4099</v>
      </c>
      <c r="T368" s="19">
        <v>177</v>
      </c>
    </row>
    <row r="369" spans="1:29" x14ac:dyDescent="0.25">
      <c r="B369" t="s">
        <v>74</v>
      </c>
      <c r="N369" s="11">
        <f>N368/(SUM($N368:$T368))</f>
        <v>0.41215922988913878</v>
      </c>
      <c r="O369" s="11">
        <f>O368/(SUM($N368:$T368))</f>
        <v>0.34615536355387228</v>
      </c>
      <c r="P369" s="11">
        <f>P368/(SUM($N368:$T368))</f>
        <v>7.2986941255375387E-2</v>
      </c>
      <c r="Q369" s="11"/>
      <c r="R369" s="11"/>
      <c r="S369" s="11">
        <f>S368/(SUM($N368:$T368))</f>
        <v>0.1617153903815047</v>
      </c>
      <c r="T369" s="11">
        <f>T368/(SUM($N368:$T368))</f>
        <v>6.983074920108889E-3</v>
      </c>
    </row>
    <row r="370" spans="1:29" x14ac:dyDescent="0.25">
      <c r="A370">
        <v>1981</v>
      </c>
      <c r="B370" t="s">
        <v>18</v>
      </c>
      <c r="N370" s="19">
        <v>751</v>
      </c>
      <c r="O370" s="19">
        <v>1457</v>
      </c>
      <c r="P370" s="19">
        <v>222</v>
      </c>
      <c r="Q370" s="19"/>
      <c r="R370" s="19"/>
      <c r="S370" s="19">
        <v>42</v>
      </c>
      <c r="T370" s="19"/>
      <c r="V370">
        <v>7</v>
      </c>
      <c r="W370">
        <v>24</v>
      </c>
      <c r="X370">
        <v>0</v>
      </c>
      <c r="Z370">
        <v>0</v>
      </c>
      <c r="AB370">
        <v>5</v>
      </c>
    </row>
    <row r="371" spans="1:29" x14ac:dyDescent="0.25">
      <c r="B371" t="s">
        <v>37</v>
      </c>
      <c r="N371" s="19">
        <v>1560</v>
      </c>
      <c r="O371" s="19">
        <v>1376</v>
      </c>
      <c r="P371" s="19">
        <v>340</v>
      </c>
      <c r="Q371" s="19"/>
      <c r="R371" s="19"/>
      <c r="S371" s="19">
        <v>371</v>
      </c>
      <c r="T371" s="19">
        <v>23</v>
      </c>
      <c r="V371">
        <v>19</v>
      </c>
      <c r="W371">
        <v>14</v>
      </c>
      <c r="X371">
        <v>0</v>
      </c>
      <c r="Z371">
        <v>13</v>
      </c>
    </row>
    <row r="372" spans="1:29" x14ac:dyDescent="0.25">
      <c r="B372" t="s">
        <v>14</v>
      </c>
      <c r="N372" s="19">
        <v>10545</v>
      </c>
      <c r="O372" s="19">
        <v>8999</v>
      </c>
      <c r="P372" s="19">
        <v>1455</v>
      </c>
      <c r="Q372" s="19"/>
      <c r="R372" s="19"/>
      <c r="S372" s="19">
        <v>4208</v>
      </c>
      <c r="T372" s="19">
        <v>172</v>
      </c>
    </row>
    <row r="373" spans="1:29" x14ac:dyDescent="0.25">
      <c r="B373" t="s">
        <v>74</v>
      </c>
      <c r="N373" s="11">
        <f>N372/(SUM($N372:$T372))</f>
        <v>0.41550100476772134</v>
      </c>
      <c r="O373" s="11">
        <f>O372/(SUM($N372:$T372))</f>
        <v>0.35458449899523226</v>
      </c>
      <c r="P373" s="11">
        <f>P372/(SUM($N372:$T372))</f>
        <v>5.7330864100240353E-2</v>
      </c>
      <c r="Q373" s="11"/>
      <c r="R373" s="11"/>
      <c r="S373" s="11">
        <f>S372/(SUM($N372:$T372))</f>
        <v>0.16580637534969858</v>
      </c>
      <c r="T373" s="11">
        <f>T372/(SUM($N372:$T372))</f>
        <v>6.777256787107451E-3</v>
      </c>
    </row>
    <row r="374" spans="1:29" x14ac:dyDescent="0.25">
      <c r="A374">
        <v>1980</v>
      </c>
      <c r="B374" t="s">
        <v>18</v>
      </c>
      <c r="N374" s="19">
        <v>770</v>
      </c>
      <c r="O374" s="19">
        <v>1548</v>
      </c>
      <c r="P374" s="19">
        <v>133</v>
      </c>
      <c r="Q374" s="19"/>
      <c r="R374" s="19"/>
      <c r="S374" s="19">
        <v>75</v>
      </c>
      <c r="T374" s="19"/>
      <c r="V374">
        <v>6</v>
      </c>
      <c r="W374">
        <v>27</v>
      </c>
      <c r="X374">
        <v>0</v>
      </c>
      <c r="Z374">
        <v>0</v>
      </c>
      <c r="AB374">
        <v>3</v>
      </c>
    </row>
    <row r="375" spans="1:29" x14ac:dyDescent="0.25">
      <c r="B375" t="s">
        <v>40</v>
      </c>
      <c r="N375" s="19"/>
      <c r="O375" s="19"/>
      <c r="P375" s="19"/>
      <c r="Q375" s="19"/>
      <c r="R375" s="19"/>
      <c r="S375" s="19"/>
      <c r="T375" s="19"/>
      <c r="V375">
        <v>148</v>
      </c>
      <c r="W375">
        <v>53</v>
      </c>
      <c r="X375">
        <v>3</v>
      </c>
      <c r="Z375">
        <v>0</v>
      </c>
      <c r="AB375">
        <v>82</v>
      </c>
      <c r="AC375" s="18">
        <f>SUM(V375:AB375)</f>
        <v>286</v>
      </c>
    </row>
    <row r="376" spans="1:29" x14ac:dyDescent="0.25">
      <c r="B376" t="s">
        <v>14</v>
      </c>
      <c r="N376" s="19">
        <v>11738</v>
      </c>
      <c r="O376" s="19">
        <v>8011</v>
      </c>
      <c r="P376" s="19">
        <v>1149</v>
      </c>
      <c r="Q376" s="19"/>
      <c r="R376" s="19"/>
      <c r="S376" s="19">
        <v>4325</v>
      </c>
      <c r="T376" s="19">
        <v>186</v>
      </c>
    </row>
    <row r="377" spans="1:29" x14ac:dyDescent="0.25">
      <c r="B377" t="s">
        <v>74</v>
      </c>
      <c r="N377" s="11">
        <f>N376/(SUM($N376:$T376))</f>
        <v>0.46196229682396001</v>
      </c>
      <c r="O377" s="11">
        <f>O376/(SUM($N376:$T376))</f>
        <v>0.3152819866976268</v>
      </c>
      <c r="P377" s="11">
        <f>P376/(SUM($N376:$T376))</f>
        <v>4.5220197567790943E-2</v>
      </c>
      <c r="Q377" s="11"/>
      <c r="R377" s="11"/>
      <c r="S377" s="11">
        <f>S376/(SUM($N376:$T376))</f>
        <v>0.17021527805108427</v>
      </c>
      <c r="T377" s="11">
        <f>T376/(SUM($N376:$T376))</f>
        <v>7.3202408595379586E-3</v>
      </c>
    </row>
    <row r="378" spans="1:29" x14ac:dyDescent="0.25">
      <c r="A378">
        <v>1979</v>
      </c>
      <c r="B378" t="s">
        <v>18</v>
      </c>
      <c r="N378" s="19">
        <v>986</v>
      </c>
      <c r="O378" s="19">
        <v>1317</v>
      </c>
      <c r="P378" s="19">
        <v>116</v>
      </c>
      <c r="Q378" s="19"/>
      <c r="R378" s="19"/>
      <c r="S378" s="19">
        <v>87</v>
      </c>
      <c r="T378" s="19"/>
      <c r="V378">
        <v>11</v>
      </c>
      <c r="W378">
        <v>18</v>
      </c>
      <c r="X378">
        <v>0</v>
      </c>
      <c r="Z378">
        <v>0</v>
      </c>
      <c r="AB378">
        <v>7</v>
      </c>
    </row>
    <row r="379" spans="1:29" x14ac:dyDescent="0.25">
      <c r="B379" t="s">
        <v>40</v>
      </c>
      <c r="N379" s="19"/>
      <c r="O379" s="19"/>
      <c r="P379" s="19"/>
      <c r="Q379" s="19"/>
      <c r="R379" s="19"/>
      <c r="S379" s="19"/>
      <c r="T379" s="19"/>
      <c r="V379">
        <v>166</v>
      </c>
      <c r="W379">
        <v>49</v>
      </c>
      <c r="X379">
        <v>0</v>
      </c>
      <c r="Z379">
        <v>0</v>
      </c>
      <c r="AB379">
        <v>81</v>
      </c>
      <c r="AC379">
        <f>SUM(V379:AB379)</f>
        <v>296</v>
      </c>
    </row>
    <row r="380" spans="1:29" x14ac:dyDescent="0.25">
      <c r="B380" t="s">
        <v>39</v>
      </c>
      <c r="N380" s="19"/>
      <c r="O380" s="19"/>
      <c r="P380" s="19"/>
      <c r="Q380" s="19"/>
      <c r="R380" s="19"/>
      <c r="S380" s="19"/>
      <c r="T380" s="19"/>
      <c r="V380">
        <v>2</v>
      </c>
      <c r="W380">
        <v>16</v>
      </c>
      <c r="X380">
        <v>0</v>
      </c>
      <c r="Z380">
        <v>0</v>
      </c>
      <c r="AB380">
        <v>17</v>
      </c>
    </row>
    <row r="381" spans="1:29" x14ac:dyDescent="0.25">
      <c r="B381" t="s">
        <v>14</v>
      </c>
      <c r="N381" s="19">
        <v>12222</v>
      </c>
      <c r="O381" s="19">
        <v>7410</v>
      </c>
      <c r="P381" s="19">
        <v>1059</v>
      </c>
      <c r="Q381" s="19"/>
      <c r="R381" s="19"/>
      <c r="S381" s="19">
        <v>4388</v>
      </c>
      <c r="T381" s="19">
        <v>301</v>
      </c>
    </row>
    <row r="382" spans="1:29" x14ac:dyDescent="0.25">
      <c r="B382" t="s">
        <v>74</v>
      </c>
      <c r="N382" s="11">
        <f>N381/(SUM($N381:$T381))</f>
        <v>0.48156028368794324</v>
      </c>
      <c r="O382" s="11">
        <f>O381/(SUM($N381:$T381))</f>
        <v>0.29196217494089832</v>
      </c>
      <c r="P382" s="11">
        <f>P381/(SUM($N381:$T381))</f>
        <v>4.1725768321513E-2</v>
      </c>
      <c r="Q382" s="11"/>
      <c r="R382" s="11"/>
      <c r="S382" s="11">
        <f>S381/(SUM($N381:$T381))</f>
        <v>0.17289204097714736</v>
      </c>
      <c r="T382" s="11">
        <f>T381/(SUM($N381:$T381))</f>
        <v>1.185973207249803E-2</v>
      </c>
    </row>
    <row r="383" spans="1:29" x14ac:dyDescent="0.25">
      <c r="A383">
        <v>1978</v>
      </c>
      <c r="B383" t="s">
        <v>40</v>
      </c>
      <c r="N383" s="19"/>
      <c r="O383" s="19"/>
      <c r="P383" s="19"/>
      <c r="Q383" s="19"/>
      <c r="R383" s="19"/>
      <c r="S383" s="19"/>
      <c r="T383" s="19"/>
      <c r="V383">
        <v>176</v>
      </c>
      <c r="W383">
        <v>30</v>
      </c>
      <c r="X383">
        <v>0</v>
      </c>
      <c r="Z383">
        <v>0</v>
      </c>
      <c r="AB383">
        <v>90</v>
      </c>
      <c r="AC383">
        <f>SUM(V383:AB383)</f>
        <v>296</v>
      </c>
    </row>
    <row r="384" spans="1:29" x14ac:dyDescent="0.25">
      <c r="N384" s="19">
        <v>12645</v>
      </c>
      <c r="O384" s="19">
        <v>6644</v>
      </c>
      <c r="P384" s="19">
        <v>923</v>
      </c>
      <c r="Q384" s="19"/>
      <c r="R384" s="19"/>
      <c r="S384" s="19">
        <v>4920</v>
      </c>
      <c r="T384" s="19">
        <v>349</v>
      </c>
    </row>
    <row r="385" spans="1:29" x14ac:dyDescent="0.25">
      <c r="B385" t="s">
        <v>74</v>
      </c>
      <c r="N385" s="11">
        <f>N384/(SUM($N384:$T384))</f>
        <v>0.49625210941485814</v>
      </c>
      <c r="O385" s="11">
        <f>O384/(SUM($N384:$T384))</f>
        <v>0.26074329892861348</v>
      </c>
      <c r="P385" s="11">
        <f>P384/(SUM($N384:$T384))</f>
        <v>3.6223068168439232E-2</v>
      </c>
      <c r="Q385" s="11"/>
      <c r="R385" s="11"/>
      <c r="S385" s="11">
        <f>S384/(SUM($N384:$T384))</f>
        <v>0.19308504375809427</v>
      </c>
      <c r="T385" s="11">
        <f>T384/(SUM($N384:$T384))</f>
        <v>1.3696479729994899E-2</v>
      </c>
    </row>
    <row r="386" spans="1:29" x14ac:dyDescent="0.25">
      <c r="A386">
        <v>1977</v>
      </c>
      <c r="B386" t="s">
        <v>37</v>
      </c>
      <c r="N386" s="19">
        <v>2524</v>
      </c>
      <c r="O386" s="19">
        <v>641</v>
      </c>
      <c r="P386" s="19">
        <v>71</v>
      </c>
      <c r="Q386" s="19"/>
      <c r="R386" s="19"/>
      <c r="S386" s="19">
        <v>445</v>
      </c>
      <c r="T386" s="19">
        <v>37</v>
      </c>
      <c r="V386">
        <v>36</v>
      </c>
      <c r="W386">
        <v>3</v>
      </c>
      <c r="X386">
        <v>0</v>
      </c>
      <c r="Z386">
        <v>8</v>
      </c>
    </row>
    <row r="387" spans="1:29" x14ac:dyDescent="0.25">
      <c r="B387" t="s">
        <v>14</v>
      </c>
      <c r="N387" s="19">
        <v>12370</v>
      </c>
      <c r="O387" s="19">
        <v>7115</v>
      </c>
      <c r="P387" s="19">
        <v>950</v>
      </c>
      <c r="Q387" s="19"/>
      <c r="R387" s="19"/>
      <c r="S387" s="19">
        <v>4965</v>
      </c>
      <c r="T387" s="19">
        <v>349</v>
      </c>
    </row>
    <row r="388" spans="1:29" x14ac:dyDescent="0.25">
      <c r="B388" t="s">
        <v>74</v>
      </c>
      <c r="N388" s="11">
        <f>N387/(SUM($N387:$T387))</f>
        <v>0.48040700609732417</v>
      </c>
      <c r="O388" s="11">
        <f>O387/(SUM($N387:$T387))</f>
        <v>0.27632141054021514</v>
      </c>
      <c r="P388" s="11">
        <f>P387/(SUM($N387:$T387))</f>
        <v>3.6894636684919803E-2</v>
      </c>
      <c r="Q388" s="11"/>
      <c r="R388" s="11"/>
      <c r="S388" s="11">
        <f>S387/(SUM($N387:$T387))</f>
        <v>0.1928230222532914</v>
      </c>
      <c r="T388" s="11">
        <f>T387/(SUM($N387:$T387))</f>
        <v>1.3553924424249485E-2</v>
      </c>
    </row>
    <row r="389" spans="1:29" x14ac:dyDescent="0.25">
      <c r="A389">
        <v>1976</v>
      </c>
      <c r="B389" t="s">
        <v>40</v>
      </c>
      <c r="N389" s="19"/>
      <c r="O389" s="19"/>
      <c r="P389" s="19"/>
      <c r="Q389" s="19"/>
      <c r="R389" s="19"/>
      <c r="S389" s="19"/>
      <c r="T389" s="19"/>
      <c r="V389">
        <v>176</v>
      </c>
      <c r="W389">
        <v>29</v>
      </c>
      <c r="X389">
        <v>0</v>
      </c>
      <c r="Z389">
        <v>0</v>
      </c>
      <c r="AB389">
        <v>91</v>
      </c>
      <c r="AC389">
        <f>SUM(V389:AB389)</f>
        <v>296</v>
      </c>
    </row>
    <row r="390" spans="1:29" x14ac:dyDescent="0.25">
      <c r="B390" t="s">
        <v>39</v>
      </c>
      <c r="N390" s="19"/>
      <c r="O390" s="19"/>
      <c r="P390" s="19"/>
      <c r="Q390" s="19"/>
      <c r="R390" s="19"/>
      <c r="S390" s="19"/>
      <c r="T390" s="19"/>
    </row>
    <row r="391" spans="1:29" x14ac:dyDescent="0.25">
      <c r="N391" s="19">
        <v>11077</v>
      </c>
      <c r="O391" s="19">
        <v>8213</v>
      </c>
      <c r="P391" s="19">
        <v>1113</v>
      </c>
      <c r="Q391" s="19"/>
      <c r="R391" s="19"/>
      <c r="S391" s="19">
        <v>5132</v>
      </c>
      <c r="T391" s="19">
        <v>223</v>
      </c>
    </row>
    <row r="392" spans="1:29" x14ac:dyDescent="0.25">
      <c r="B392" t="s">
        <v>74</v>
      </c>
      <c r="N392" s="11">
        <f>N391/(SUM($N391:$T391))</f>
        <v>0.43004115226337447</v>
      </c>
      <c r="O392" s="11">
        <f>O391/(SUM($N391:$T391))</f>
        <v>0.31885239537231153</v>
      </c>
      <c r="P392" s="11">
        <f>P391/(SUM($N391:$T391))</f>
        <v>4.3209876543209874E-2</v>
      </c>
      <c r="Q392" s="11"/>
      <c r="R392" s="11"/>
      <c r="S392" s="11">
        <f>S391/(SUM($N391:$T391))</f>
        <v>0.19923907135647179</v>
      </c>
      <c r="T392" s="11">
        <f>T391/(SUM($N391:$T391))</f>
        <v>8.6575044646323464E-3</v>
      </c>
    </row>
    <row r="393" spans="1:29" x14ac:dyDescent="0.25">
      <c r="A393">
        <v>1975</v>
      </c>
      <c r="N393" s="19">
        <v>8301</v>
      </c>
      <c r="O393" s="19">
        <v>10117</v>
      </c>
      <c r="P393" s="19">
        <v>1462</v>
      </c>
      <c r="Q393" s="19"/>
      <c r="R393" s="19"/>
      <c r="S393" s="19">
        <v>5685</v>
      </c>
      <c r="T393" s="19">
        <v>145</v>
      </c>
    </row>
    <row r="394" spans="1:29" x14ac:dyDescent="0.25">
      <c r="B394" t="s">
        <v>74</v>
      </c>
      <c r="N394" s="11">
        <f>N393/(SUM($N393:$T393))</f>
        <v>0.32287047841306882</v>
      </c>
      <c r="O394" s="11">
        <f>O393/(SUM($N393:$T393))</f>
        <v>0.39350447296771685</v>
      </c>
      <c r="P394" s="11">
        <f>P393/(SUM($N393:$T393))</f>
        <v>5.6865033061065731E-2</v>
      </c>
      <c r="Q394" s="11"/>
      <c r="R394" s="11"/>
      <c r="S394" s="11">
        <f>S393/(SUM($N393:$T393))</f>
        <v>0.22112018669778297</v>
      </c>
      <c r="T394" s="11">
        <f>T393/(SUM($N393:$T393))</f>
        <v>5.6398288603656168E-3</v>
      </c>
    </row>
    <row r="395" spans="1:29" x14ac:dyDescent="0.25">
      <c r="A395">
        <v>1974</v>
      </c>
      <c r="N395" s="19">
        <v>8102</v>
      </c>
      <c r="O395" s="19">
        <v>10325</v>
      </c>
      <c r="P395" s="19">
        <v>1474</v>
      </c>
      <c r="Q395" s="19"/>
      <c r="R395" s="19"/>
      <c r="S395" s="19">
        <v>5664</v>
      </c>
      <c r="T395" s="19">
        <v>145</v>
      </c>
    </row>
    <row r="396" spans="1:29" x14ac:dyDescent="0.25">
      <c r="B396" t="s">
        <v>74</v>
      </c>
      <c r="N396" s="11">
        <f>N395/(SUM($N395:$T395))</f>
        <v>0.31513029949436017</v>
      </c>
      <c r="O396" s="11">
        <f>O395/(SUM($N395:$T395))</f>
        <v>0.40159471022948268</v>
      </c>
      <c r="P396" s="11">
        <f>P395/(SUM($N395:$T395))</f>
        <v>5.7331777518475305E-2</v>
      </c>
      <c r="Q396" s="11"/>
      <c r="R396" s="11"/>
      <c r="S396" s="11">
        <f>S395/(SUM($N395:$T395))</f>
        <v>0.22030338389731621</v>
      </c>
      <c r="T396" s="11">
        <f>T395/(SUM($N395:$T395))</f>
        <v>5.6398288603656168E-3</v>
      </c>
    </row>
    <row r="397" spans="1:29" x14ac:dyDescent="0.25">
      <c r="A397">
        <v>1973</v>
      </c>
      <c r="B397" t="s">
        <v>37</v>
      </c>
      <c r="N397" s="19">
        <v>1484</v>
      </c>
      <c r="O397" s="19">
        <v>1397</v>
      </c>
      <c r="P397" s="19">
        <v>210</v>
      </c>
      <c r="Q397" s="19"/>
      <c r="R397" s="19"/>
      <c r="S397" s="19">
        <v>513</v>
      </c>
      <c r="T397" s="19">
        <v>18</v>
      </c>
      <c r="V397">
        <v>18</v>
      </c>
      <c r="W397">
        <v>11</v>
      </c>
      <c r="X397">
        <v>0</v>
      </c>
      <c r="Z397">
        <v>18</v>
      </c>
    </row>
    <row r="398" spans="1:29" x14ac:dyDescent="0.25">
      <c r="B398" t="s">
        <v>39</v>
      </c>
      <c r="N398" s="19"/>
      <c r="O398" s="19"/>
      <c r="P398" s="19"/>
      <c r="Q398" s="19"/>
      <c r="R398" s="19"/>
      <c r="S398" s="19"/>
      <c r="T398" s="19"/>
      <c r="V398">
        <v>1</v>
      </c>
      <c r="W398">
        <v>19</v>
      </c>
      <c r="X398">
        <v>0</v>
      </c>
      <c r="Z398">
        <v>0</v>
      </c>
      <c r="AB398">
        <v>17</v>
      </c>
    </row>
    <row r="399" spans="1:29" x14ac:dyDescent="0.25">
      <c r="B399" t="s">
        <v>14</v>
      </c>
      <c r="N399" s="19">
        <v>7709</v>
      </c>
      <c r="O399" s="19">
        <v>9781</v>
      </c>
      <c r="P399" s="19">
        <v>1427</v>
      </c>
      <c r="Q399" s="19"/>
      <c r="R399" s="19"/>
      <c r="S399" s="19">
        <v>5183</v>
      </c>
      <c r="T399" s="19">
        <v>65</v>
      </c>
    </row>
    <row r="400" spans="1:29" x14ac:dyDescent="0.25">
      <c r="B400" t="s">
        <v>74</v>
      </c>
      <c r="N400" s="11">
        <f>N399/(SUM($N399:$T399))</f>
        <v>0.31901510448996484</v>
      </c>
      <c r="O400" s="11">
        <f>O399/(SUM($N399:$T399))</f>
        <v>0.4047589488930271</v>
      </c>
      <c r="P400" s="11">
        <f>P399/(SUM($N399:$T399))</f>
        <v>5.9052348437823296E-2</v>
      </c>
      <c r="Q400" s="11"/>
      <c r="R400" s="11"/>
      <c r="S400" s="11">
        <f>S399/(SUM($N399:$T399))</f>
        <v>0.21448375750051726</v>
      </c>
      <c r="T400" s="11">
        <f>T399/(SUM($N399:$T399))</f>
        <v>2.6898406786674944E-3</v>
      </c>
    </row>
  </sheetData>
  <mergeCells count="1">
    <mergeCell ref="K1:L2"/>
  </mergeCells>
  <phoneticPr fontId="9"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
  <sheetViews>
    <sheetView workbookViewId="0">
      <selection activeCell="X4" sqref="X4"/>
    </sheetView>
  </sheetViews>
  <sheetFormatPr defaultRowHeight="13.2" x14ac:dyDescent="0.25"/>
  <cols>
    <col min="2" max="2" width="15.33203125" customWidth="1"/>
    <col min="5" max="5" width="5.33203125" bestFit="1" customWidth="1"/>
    <col min="6" max="6" width="4.33203125" bestFit="1" customWidth="1"/>
    <col min="7" max="7" width="17" customWidth="1"/>
    <col min="8" max="8" width="7" bestFit="1" customWidth="1"/>
    <col min="9" max="9" width="4.109375" bestFit="1" customWidth="1"/>
    <col min="10" max="10" width="5.33203125" bestFit="1" customWidth="1"/>
    <col min="11" max="11" width="13.33203125" customWidth="1"/>
    <col min="12" max="12" width="7" bestFit="1" customWidth="1"/>
    <col min="13" max="13" width="3.88671875" bestFit="1" customWidth="1"/>
    <col min="14" max="14" width="5.33203125" bestFit="1" customWidth="1"/>
    <col min="15" max="15" width="7.33203125" bestFit="1" customWidth="1"/>
    <col min="16" max="16" width="7.33203125" customWidth="1"/>
    <col min="17" max="17" width="5.33203125" customWidth="1"/>
    <col min="18" max="18" width="6.33203125" bestFit="1" customWidth="1"/>
    <col min="19" max="19" width="7" bestFit="1" customWidth="1"/>
    <col min="20" max="20" width="5.33203125" customWidth="1"/>
    <col min="22" max="22" width="3.33203125" bestFit="1" customWidth="1"/>
  </cols>
  <sheetData>
    <row r="1" spans="1:25" ht="17.399999999999999" x14ac:dyDescent="0.3">
      <c r="A1" s="2" t="s">
        <v>8</v>
      </c>
      <c r="B1" s="2"/>
      <c r="C1" s="2"/>
      <c r="D1" s="2"/>
      <c r="E1" s="2"/>
      <c r="F1" s="2"/>
      <c r="G1" s="2"/>
      <c r="H1" s="2"/>
      <c r="I1" s="2"/>
      <c r="J1" s="2"/>
      <c r="K1" s="2"/>
      <c r="L1" s="2"/>
      <c r="M1" s="2"/>
      <c r="N1" s="2"/>
      <c r="O1" s="2"/>
      <c r="P1" s="2"/>
      <c r="Q1" s="2"/>
      <c r="R1" s="2"/>
      <c r="S1" s="2"/>
      <c r="T1" s="2"/>
      <c r="U1" s="2"/>
      <c r="V1" s="2"/>
      <c r="W1" s="2"/>
    </row>
    <row r="2" spans="1:25" s="4" customFormat="1" ht="16.2" customHeight="1" x14ac:dyDescent="0.25">
      <c r="A2" s="38" t="s">
        <v>4</v>
      </c>
      <c r="B2" s="37" t="s">
        <v>9</v>
      </c>
      <c r="C2" s="37" t="s">
        <v>10</v>
      </c>
      <c r="D2" s="37" t="s">
        <v>77</v>
      </c>
      <c r="E2" s="37" t="s">
        <v>44</v>
      </c>
      <c r="F2" s="37"/>
      <c r="G2" s="37" t="s">
        <v>11</v>
      </c>
      <c r="H2" s="37" t="s">
        <v>77</v>
      </c>
      <c r="I2" s="37"/>
      <c r="J2" s="37" t="s">
        <v>44</v>
      </c>
      <c r="K2" s="37" t="s">
        <v>12</v>
      </c>
      <c r="L2" s="37" t="s">
        <v>77</v>
      </c>
      <c r="M2" s="37"/>
      <c r="N2" s="37" t="s">
        <v>44</v>
      </c>
      <c r="O2" s="37" t="s">
        <v>69</v>
      </c>
      <c r="P2" s="37" t="s">
        <v>77</v>
      </c>
      <c r="Q2" s="37"/>
      <c r="R2" s="37" t="s">
        <v>7</v>
      </c>
      <c r="S2" s="37" t="s">
        <v>77</v>
      </c>
      <c r="T2" s="37"/>
      <c r="U2" s="37" t="s">
        <v>13</v>
      </c>
      <c r="V2" s="37"/>
      <c r="W2" s="37" t="s">
        <v>14</v>
      </c>
    </row>
    <row r="3" spans="1:25" s="4" customFormat="1" ht="13.2" customHeight="1" x14ac:dyDescent="0.25">
      <c r="A3" s="5">
        <v>2026</v>
      </c>
      <c r="B3" s="6" t="s">
        <v>10</v>
      </c>
      <c r="C3" s="8">
        <v>695</v>
      </c>
      <c r="D3" s="74">
        <f>C3/$W3</f>
        <v>0.38292011019283745</v>
      </c>
      <c r="E3" s="37"/>
      <c r="F3" s="37"/>
      <c r="G3" s="8">
        <v>407</v>
      </c>
      <c r="H3" s="74">
        <f t="shared" ref="H3:H19" si="0">G3/$W3</f>
        <v>0.22424242424242424</v>
      </c>
      <c r="I3" s="37"/>
      <c r="J3" s="37"/>
      <c r="K3" s="8">
        <v>243</v>
      </c>
      <c r="L3" s="74">
        <f t="shared" ref="L3:L19" si="1">K3/$W3</f>
        <v>0.13388429752066117</v>
      </c>
      <c r="M3" s="37"/>
      <c r="N3" s="7"/>
      <c r="O3" s="8">
        <v>79</v>
      </c>
      <c r="P3" s="74">
        <f>O3/$W3</f>
        <v>4.3526170798898069E-2</v>
      </c>
      <c r="Q3" s="37"/>
      <c r="R3" s="8">
        <v>298</v>
      </c>
      <c r="S3" s="74">
        <f>R3/$W3</f>
        <v>0.16418732782369147</v>
      </c>
      <c r="T3" s="37"/>
      <c r="U3" s="8">
        <v>93</v>
      </c>
      <c r="V3" s="44">
        <f>U3/W3</f>
        <v>5.1239669421487603E-2</v>
      </c>
      <c r="W3" s="8">
        <f>C3+G3+K3+O3+R3+U3</f>
        <v>1815</v>
      </c>
      <c r="X3" s="36" t="s">
        <v>78</v>
      </c>
    </row>
    <row r="4" spans="1:25" s="4" customFormat="1" ht="13.2" customHeight="1" x14ac:dyDescent="0.25">
      <c r="A4" s="5">
        <v>2022</v>
      </c>
      <c r="B4" s="6" t="s">
        <v>11</v>
      </c>
      <c r="C4" s="8">
        <v>1156</v>
      </c>
      <c r="D4" s="74">
        <f>C4/$W4</f>
        <v>0.63621353880022014</v>
      </c>
      <c r="E4" s="7">
        <v>42.1</v>
      </c>
      <c r="F4" s="44">
        <f>C4/W4</f>
        <v>0.63621353880022014</v>
      </c>
      <c r="G4" s="6">
        <v>403</v>
      </c>
      <c r="H4" s="74">
        <f t="shared" si="0"/>
        <v>0.22179416620803521</v>
      </c>
      <c r="I4" s="44">
        <f t="shared" ref="I4:I19" si="2">G4/W4</f>
        <v>0.22179416620803521</v>
      </c>
      <c r="J4" s="7">
        <v>25.9</v>
      </c>
      <c r="K4" s="6">
        <v>181</v>
      </c>
      <c r="L4" s="74">
        <f t="shared" si="1"/>
        <v>9.9614749587231696E-2</v>
      </c>
      <c r="M4" s="44">
        <f>K4/W4</f>
        <v>9.9614749587231696E-2</v>
      </c>
      <c r="N4" s="7">
        <v>14.4</v>
      </c>
      <c r="O4" s="7"/>
      <c r="P4" s="7"/>
      <c r="Q4" s="7"/>
      <c r="R4" s="7"/>
      <c r="S4" s="7"/>
      <c r="T4" s="7"/>
      <c r="U4" s="6">
        <f>17+60</f>
        <v>77</v>
      </c>
      <c r="V4" s="44">
        <f>U4/W4</f>
        <v>4.2377545404512933E-2</v>
      </c>
      <c r="W4" s="8">
        <f>C4+G4+K4+U4</f>
        <v>1817</v>
      </c>
      <c r="Y4" s="9"/>
    </row>
    <row r="5" spans="1:25" s="4" customFormat="1" ht="13.2" customHeight="1" x14ac:dyDescent="0.25">
      <c r="A5" s="5">
        <v>2018</v>
      </c>
      <c r="B5" s="6" t="s">
        <v>11</v>
      </c>
      <c r="C5" s="8">
        <v>1122</v>
      </c>
      <c r="D5" s="74">
        <f>C5/$W5</f>
        <v>0.61211129296235678</v>
      </c>
      <c r="E5" s="7">
        <v>43.7</v>
      </c>
      <c r="F5" s="44">
        <f t="shared" ref="F5:F19" si="3">C5/W5</f>
        <v>0.61211129296235678</v>
      </c>
      <c r="G5" s="6">
        <v>511</v>
      </c>
      <c r="H5" s="74">
        <f t="shared" si="0"/>
        <v>0.27877795962902346</v>
      </c>
      <c r="I5" s="44">
        <f t="shared" si="2"/>
        <v>0.27877795962902346</v>
      </c>
      <c r="J5" s="7">
        <v>28.8</v>
      </c>
      <c r="K5" s="6">
        <v>155</v>
      </c>
      <c r="L5" s="74">
        <f t="shared" si="1"/>
        <v>8.4560829241680305E-2</v>
      </c>
      <c r="M5" s="44">
        <f t="shared" ref="M5:M19" si="4">K5/W5</f>
        <v>8.4560829241680305E-2</v>
      </c>
      <c r="N5" s="7">
        <v>13.1</v>
      </c>
      <c r="O5" s="7"/>
      <c r="P5" s="7"/>
      <c r="Q5" s="7"/>
      <c r="R5" s="7"/>
      <c r="S5" s="7"/>
      <c r="T5" s="7"/>
      <c r="U5" s="6">
        <v>45</v>
      </c>
      <c r="V5" s="44">
        <f t="shared" ref="V5:V19" si="5">U5/W5</f>
        <v>2.4549918166939442E-2</v>
      </c>
      <c r="W5" s="8">
        <f>C5+G5+K5+U5</f>
        <v>1833</v>
      </c>
    </row>
    <row r="6" spans="1:25" s="4" customFormat="1" ht="13.2" customHeight="1" x14ac:dyDescent="0.25">
      <c r="A6" s="5">
        <v>2014</v>
      </c>
      <c r="B6" s="6" t="s">
        <v>41</v>
      </c>
      <c r="C6" s="8">
        <v>1058</v>
      </c>
      <c r="D6" s="74">
        <f>C6/$W6</f>
        <v>0.57158292814694756</v>
      </c>
      <c r="E6" s="7">
        <v>37.6</v>
      </c>
      <c r="F6" s="44">
        <f t="shared" si="3"/>
        <v>0.57158292814694756</v>
      </c>
      <c r="G6" s="6">
        <v>615</v>
      </c>
      <c r="H6" s="74">
        <f t="shared" si="0"/>
        <v>0.33225283630470015</v>
      </c>
      <c r="I6" s="44">
        <f t="shared" si="2"/>
        <v>0.33225283630470015</v>
      </c>
      <c r="J6" s="7">
        <v>26.4</v>
      </c>
      <c r="K6" s="6">
        <v>116</v>
      </c>
      <c r="L6" s="74">
        <f t="shared" si="1"/>
        <v>6.266882766072393E-2</v>
      </c>
      <c r="M6" s="44">
        <f t="shared" si="4"/>
        <v>6.266882766072393E-2</v>
      </c>
      <c r="N6" s="7">
        <v>10.6</v>
      </c>
      <c r="O6" s="7"/>
      <c r="P6" s="7"/>
      <c r="Q6" s="7"/>
      <c r="R6" s="7"/>
      <c r="S6" s="7"/>
      <c r="T6" s="7"/>
      <c r="U6" s="6">
        <v>62</v>
      </c>
      <c r="V6" s="44">
        <f t="shared" si="5"/>
        <v>3.3495407887628309E-2</v>
      </c>
      <c r="W6" s="8">
        <f>C6+G6+K6+U6</f>
        <v>1851</v>
      </c>
    </row>
    <row r="7" spans="1:25" s="9" customFormat="1" x14ac:dyDescent="0.25">
      <c r="A7" s="5">
        <v>2010</v>
      </c>
      <c r="B7" s="6" t="s">
        <v>10</v>
      </c>
      <c r="C7" s="6">
        <v>875</v>
      </c>
      <c r="D7" s="74">
        <f>C7/$W7</f>
        <v>0.47017732401934442</v>
      </c>
      <c r="E7" s="7">
        <v>32.5</v>
      </c>
      <c r="F7" s="44">
        <f t="shared" si="3"/>
        <v>0.47017732401934442</v>
      </c>
      <c r="G7" s="6">
        <v>717</v>
      </c>
      <c r="H7" s="74">
        <f t="shared" si="0"/>
        <v>0.38527673293927994</v>
      </c>
      <c r="I7" s="44">
        <f t="shared" si="2"/>
        <v>0.38527673293927994</v>
      </c>
      <c r="J7" s="7">
        <v>31.7</v>
      </c>
      <c r="K7" s="6">
        <v>246</v>
      </c>
      <c r="L7" s="74">
        <f t="shared" si="1"/>
        <v>0.13218699623858141</v>
      </c>
      <c r="M7" s="44">
        <f t="shared" si="4"/>
        <v>0.13218699623858141</v>
      </c>
      <c r="N7" s="7">
        <v>22.4</v>
      </c>
      <c r="O7" s="7"/>
      <c r="P7" s="7"/>
      <c r="Q7" s="7"/>
      <c r="R7" s="7"/>
      <c r="S7" s="7"/>
      <c r="T7" s="7"/>
      <c r="U7" s="6">
        <v>23</v>
      </c>
      <c r="V7" s="44">
        <f t="shared" si="5"/>
        <v>1.2358946802794197E-2</v>
      </c>
      <c r="W7" s="8">
        <v>1861</v>
      </c>
    </row>
    <row r="8" spans="1:25" s="9" customFormat="1" x14ac:dyDescent="0.25">
      <c r="A8" s="5">
        <v>2006</v>
      </c>
      <c r="B8" s="6" t="s">
        <v>10</v>
      </c>
      <c r="C8" s="6">
        <v>684</v>
      </c>
      <c r="D8" s="74">
        <f t="shared" ref="D8:D19" si="6">C8/$W8</f>
        <v>0.36754433100483613</v>
      </c>
      <c r="E8" s="7">
        <v>27.9</v>
      </c>
      <c r="F8" s="44">
        <f t="shared" si="3"/>
        <v>0.36754433100483613</v>
      </c>
      <c r="G8" s="6">
        <v>785</v>
      </c>
      <c r="H8" s="74">
        <f t="shared" si="0"/>
        <v>0.42181622783449757</v>
      </c>
      <c r="I8" s="44">
        <f t="shared" si="2"/>
        <v>0.42181622783449757</v>
      </c>
      <c r="J8" s="7">
        <v>34.799999999999997</v>
      </c>
      <c r="K8" s="6">
        <v>317</v>
      </c>
      <c r="L8" s="74">
        <f t="shared" si="1"/>
        <v>0.17033852767329394</v>
      </c>
      <c r="M8" s="44">
        <f t="shared" si="4"/>
        <v>0.17033852767329394</v>
      </c>
      <c r="N8" s="7">
        <v>20.7</v>
      </c>
      <c r="O8" s="7"/>
      <c r="P8" s="7"/>
      <c r="Q8" s="7"/>
      <c r="R8" s="7"/>
      <c r="S8" s="7"/>
      <c r="T8" s="7"/>
      <c r="U8" s="6">
        <v>75</v>
      </c>
      <c r="V8" s="44">
        <f t="shared" si="5"/>
        <v>4.0300913487372379E-2</v>
      </c>
      <c r="W8" s="8">
        <v>1861</v>
      </c>
    </row>
    <row r="9" spans="1:25" x14ac:dyDescent="0.25">
      <c r="A9" s="5">
        <v>2002</v>
      </c>
      <c r="B9" s="6" t="s">
        <v>10</v>
      </c>
      <c r="C9" s="6">
        <v>866</v>
      </c>
      <c r="D9" s="74">
        <f t="shared" si="6"/>
        <v>0.46534121440085974</v>
      </c>
      <c r="E9" s="7">
        <v>33.799999999999997</v>
      </c>
      <c r="F9" s="44">
        <f t="shared" si="3"/>
        <v>0.46534121440085974</v>
      </c>
      <c r="G9" s="6">
        <v>653</v>
      </c>
      <c r="H9" s="74">
        <f t="shared" si="0"/>
        <v>0.35088662009672217</v>
      </c>
      <c r="I9" s="44">
        <f t="shared" si="2"/>
        <v>0.35088662009672217</v>
      </c>
      <c r="J9" s="7">
        <v>34.4</v>
      </c>
      <c r="K9" s="6">
        <v>309</v>
      </c>
      <c r="L9" s="74">
        <f t="shared" si="1"/>
        <v>0.1660397635679742</v>
      </c>
      <c r="M9" s="44">
        <f t="shared" si="4"/>
        <v>0.1660397635679742</v>
      </c>
      <c r="N9" s="7">
        <v>20.3</v>
      </c>
      <c r="O9" s="7"/>
      <c r="P9" s="7"/>
      <c r="Q9" s="7"/>
      <c r="R9" s="7"/>
      <c r="S9" s="7"/>
      <c r="T9" s="7"/>
      <c r="U9" s="6">
        <v>33</v>
      </c>
      <c r="V9" s="44">
        <f t="shared" si="5"/>
        <v>1.7732401934443847E-2</v>
      </c>
      <c r="W9" s="8">
        <v>1861</v>
      </c>
    </row>
    <row r="10" spans="1:25" x14ac:dyDescent="0.25">
      <c r="A10" s="5">
        <v>1998</v>
      </c>
      <c r="B10" s="6" t="s">
        <v>10</v>
      </c>
      <c r="C10" s="8">
        <v>1050</v>
      </c>
      <c r="D10" s="74">
        <f t="shared" si="6"/>
        <v>0.54773082942097029</v>
      </c>
      <c r="E10" s="7">
        <v>40.5</v>
      </c>
      <c r="F10" s="44">
        <f t="shared" si="3"/>
        <v>0.54773082942097029</v>
      </c>
      <c r="G10" s="6">
        <v>538</v>
      </c>
      <c r="H10" s="74">
        <f t="shared" si="0"/>
        <v>0.2806468440271257</v>
      </c>
      <c r="I10" s="44">
        <f t="shared" si="2"/>
        <v>0.2806468440271257</v>
      </c>
      <c r="J10" s="7">
        <v>32.299999999999997</v>
      </c>
      <c r="K10" s="6">
        <v>301</v>
      </c>
      <c r="L10" s="74">
        <f t="shared" si="1"/>
        <v>0.15701617110067814</v>
      </c>
      <c r="M10" s="44">
        <f t="shared" si="4"/>
        <v>0.15701617110067814</v>
      </c>
      <c r="N10" s="7">
        <v>20.6</v>
      </c>
      <c r="O10" s="7"/>
      <c r="P10" s="7"/>
      <c r="Q10" s="7"/>
      <c r="R10" s="7"/>
      <c r="S10" s="7"/>
      <c r="T10" s="7"/>
      <c r="U10" s="6">
        <v>28</v>
      </c>
      <c r="V10" s="44">
        <f t="shared" si="5"/>
        <v>1.4606155451225874E-2</v>
      </c>
      <c r="W10" s="8">
        <v>1917</v>
      </c>
    </row>
    <row r="11" spans="1:25" x14ac:dyDescent="0.25">
      <c r="A11" s="5">
        <v>1994</v>
      </c>
      <c r="B11" s="6" t="s">
        <v>11</v>
      </c>
      <c r="C11" s="8">
        <v>1044</v>
      </c>
      <c r="D11" s="74">
        <f t="shared" si="6"/>
        <v>0.54460093896713613</v>
      </c>
      <c r="E11" s="7">
        <v>41.5</v>
      </c>
      <c r="F11" s="44">
        <f t="shared" si="3"/>
        <v>0.54460093896713613</v>
      </c>
      <c r="G11" s="6">
        <v>519</v>
      </c>
      <c r="H11" s="74">
        <f t="shared" si="0"/>
        <v>0.27073552425665104</v>
      </c>
      <c r="I11" s="44">
        <f t="shared" si="2"/>
        <v>0.27073552425665104</v>
      </c>
      <c r="J11" s="7">
        <v>31.3</v>
      </c>
      <c r="K11" s="6">
        <v>323</v>
      </c>
      <c r="L11" s="74">
        <f t="shared" si="1"/>
        <v>0.16849243609806991</v>
      </c>
      <c r="M11" s="44">
        <f t="shared" si="4"/>
        <v>0.16849243609806991</v>
      </c>
      <c r="N11" s="7">
        <v>21.8</v>
      </c>
      <c r="O11" s="7"/>
      <c r="P11" s="7"/>
      <c r="Q11" s="7"/>
      <c r="R11" s="7"/>
      <c r="S11" s="7"/>
      <c r="T11" s="7"/>
      <c r="U11" s="6">
        <v>31</v>
      </c>
      <c r="V11" s="44">
        <f t="shared" si="5"/>
        <v>1.6171100678142931E-2</v>
      </c>
      <c r="W11" s="8">
        <v>1917</v>
      </c>
    </row>
    <row r="12" spans="1:25" x14ac:dyDescent="0.25">
      <c r="A12" s="5">
        <v>1990</v>
      </c>
      <c r="B12" s="6" t="s">
        <v>11</v>
      </c>
      <c r="C12" s="6">
        <v>925</v>
      </c>
      <c r="D12" s="74">
        <f t="shared" si="6"/>
        <v>0.4832810867293626</v>
      </c>
      <c r="E12" s="7">
        <v>38.299999999999997</v>
      </c>
      <c r="F12" s="44">
        <f t="shared" si="3"/>
        <v>0.4832810867293626</v>
      </c>
      <c r="G12" s="6">
        <v>731</v>
      </c>
      <c r="H12" s="74">
        <f t="shared" si="0"/>
        <v>0.38192267502612331</v>
      </c>
      <c r="I12" s="44">
        <f t="shared" si="2"/>
        <v>0.38192267502612331</v>
      </c>
      <c r="J12" s="7">
        <v>37.799999999999997</v>
      </c>
      <c r="K12" s="6">
        <v>229</v>
      </c>
      <c r="L12" s="74">
        <f t="shared" si="1"/>
        <v>0.11964472309299895</v>
      </c>
      <c r="M12" s="44">
        <f t="shared" si="4"/>
        <v>0.11964472309299895</v>
      </c>
      <c r="N12" s="7">
        <v>14.1</v>
      </c>
      <c r="O12" s="7"/>
      <c r="P12" s="7"/>
      <c r="Q12" s="7"/>
      <c r="R12" s="7"/>
      <c r="S12" s="7"/>
      <c r="T12" s="7"/>
      <c r="U12" s="6">
        <v>29</v>
      </c>
      <c r="V12" s="44">
        <f t="shared" si="5"/>
        <v>1.5151515151515152E-2</v>
      </c>
      <c r="W12" s="8">
        <v>1914</v>
      </c>
    </row>
    <row r="13" spans="1:25" x14ac:dyDescent="0.25">
      <c r="A13" s="5">
        <v>1986</v>
      </c>
      <c r="B13" s="6" t="s">
        <v>11</v>
      </c>
      <c r="C13" s="6">
        <v>957</v>
      </c>
      <c r="D13" s="74">
        <f t="shared" si="6"/>
        <v>0.5</v>
      </c>
      <c r="E13" s="7">
        <v>37.4</v>
      </c>
      <c r="F13" s="44">
        <f t="shared" si="3"/>
        <v>0.5</v>
      </c>
      <c r="G13" s="6">
        <v>685</v>
      </c>
      <c r="H13" s="74">
        <f t="shared" si="0"/>
        <v>0.35788923719958204</v>
      </c>
      <c r="I13" s="44">
        <f t="shared" si="2"/>
        <v>0.35788923719958204</v>
      </c>
      <c r="J13" s="7">
        <v>35.799999999999997</v>
      </c>
      <c r="K13" s="6">
        <v>249</v>
      </c>
      <c r="L13" s="74">
        <f t="shared" si="1"/>
        <v>0.13009404388714735</v>
      </c>
      <c r="M13" s="44">
        <f t="shared" si="4"/>
        <v>0.13009404388714735</v>
      </c>
      <c r="N13" s="7">
        <v>23.8</v>
      </c>
      <c r="O13" s="7"/>
      <c r="P13" s="7"/>
      <c r="Q13" s="7"/>
      <c r="R13" s="7"/>
      <c r="S13" s="7"/>
      <c r="T13" s="7"/>
      <c r="U13" s="6">
        <v>23</v>
      </c>
      <c r="V13" s="44">
        <f t="shared" si="5"/>
        <v>1.2016718913270637E-2</v>
      </c>
      <c r="W13" s="8">
        <v>1914</v>
      </c>
    </row>
    <row r="14" spans="1:25" x14ac:dyDescent="0.25">
      <c r="A14" s="5">
        <v>1982</v>
      </c>
      <c r="B14" s="6" t="s">
        <v>11</v>
      </c>
      <c r="C14" s="6">
        <v>781</v>
      </c>
      <c r="D14" s="74">
        <f t="shared" si="6"/>
        <v>0.40804597701149425</v>
      </c>
      <c r="E14" s="7">
        <v>30.4</v>
      </c>
      <c r="F14" s="44">
        <f t="shared" si="3"/>
        <v>0.40804597701149425</v>
      </c>
      <c r="G14" s="6">
        <v>980</v>
      </c>
      <c r="H14" s="74">
        <f t="shared" si="0"/>
        <v>0.51201671891327061</v>
      </c>
      <c r="I14" s="44">
        <f t="shared" si="2"/>
        <v>0.51201671891327061</v>
      </c>
      <c r="J14" s="7">
        <v>43</v>
      </c>
      <c r="K14" s="6">
        <v>124</v>
      </c>
      <c r="L14" s="74">
        <f t="shared" si="1"/>
        <v>6.4785788923719959E-2</v>
      </c>
      <c r="M14" s="44">
        <f t="shared" si="4"/>
        <v>6.4785788923719959E-2</v>
      </c>
      <c r="N14" s="7">
        <v>24.6</v>
      </c>
      <c r="O14" s="7"/>
      <c r="P14" s="7"/>
      <c r="Q14" s="7"/>
      <c r="R14" s="7"/>
      <c r="S14" s="7"/>
      <c r="T14" s="7"/>
      <c r="U14" s="6">
        <v>29</v>
      </c>
      <c r="V14" s="44">
        <f t="shared" si="5"/>
        <v>1.5151515151515152E-2</v>
      </c>
      <c r="W14" s="8">
        <v>1914</v>
      </c>
    </row>
    <row r="15" spans="1:25" x14ac:dyDescent="0.25">
      <c r="A15" s="5">
        <v>1978</v>
      </c>
      <c r="B15" s="6" t="s">
        <v>10</v>
      </c>
      <c r="C15" s="6">
        <v>882</v>
      </c>
      <c r="D15" s="74">
        <f t="shared" si="6"/>
        <v>0.46226415094339623</v>
      </c>
      <c r="E15" s="7">
        <v>39.6</v>
      </c>
      <c r="F15" s="44">
        <f t="shared" si="3"/>
        <v>0.46226415094339623</v>
      </c>
      <c r="G15" s="6">
        <v>960</v>
      </c>
      <c r="H15" s="74">
        <f t="shared" si="0"/>
        <v>0.50314465408805031</v>
      </c>
      <c r="I15" s="44">
        <f t="shared" si="2"/>
        <v>0.50314465408805031</v>
      </c>
      <c r="J15" s="7">
        <v>49.6</v>
      </c>
      <c r="K15" s="6">
        <v>30</v>
      </c>
      <c r="L15" s="74">
        <f t="shared" si="1"/>
        <v>1.5723270440251572E-2</v>
      </c>
      <c r="M15" s="44">
        <f t="shared" si="4"/>
        <v>1.5723270440251572E-2</v>
      </c>
      <c r="N15" s="7">
        <v>6.4</v>
      </c>
      <c r="O15" s="7"/>
      <c r="P15" s="7"/>
      <c r="Q15" s="7"/>
      <c r="R15" s="7"/>
      <c r="S15" s="7"/>
      <c r="T15" s="7"/>
      <c r="U15" s="6">
        <v>36</v>
      </c>
      <c r="V15" s="44">
        <f t="shared" si="5"/>
        <v>1.8867924528301886E-2</v>
      </c>
      <c r="W15" s="8">
        <v>1908</v>
      </c>
    </row>
    <row r="16" spans="1:25" x14ac:dyDescent="0.25">
      <c r="A16" s="5">
        <v>1974</v>
      </c>
      <c r="B16" s="6" t="s">
        <v>10</v>
      </c>
      <c r="C16" s="8">
        <v>1090</v>
      </c>
      <c r="D16" s="74">
        <f t="shared" si="6"/>
        <v>0.58382431708623461</v>
      </c>
      <c r="E16" s="7">
        <v>42.9</v>
      </c>
      <c r="F16" s="44">
        <f t="shared" si="3"/>
        <v>0.58382431708623461</v>
      </c>
      <c r="G16" s="6">
        <v>713</v>
      </c>
      <c r="H16" s="74">
        <f t="shared" si="0"/>
        <v>0.38189608998393143</v>
      </c>
      <c r="I16" s="44">
        <f t="shared" si="2"/>
        <v>0.38189608998393143</v>
      </c>
      <c r="J16" s="7">
        <v>41.7</v>
      </c>
      <c r="K16" s="6">
        <v>27</v>
      </c>
      <c r="L16" s="74">
        <f t="shared" si="1"/>
        <v>1.4461703267273701E-2</v>
      </c>
      <c r="M16" s="44">
        <f t="shared" si="4"/>
        <v>1.4461703267273701E-2</v>
      </c>
      <c r="N16" s="7">
        <v>12.3</v>
      </c>
      <c r="O16" s="7"/>
      <c r="P16" s="7"/>
      <c r="Q16" s="7"/>
      <c r="R16" s="7"/>
      <c r="S16" s="7"/>
      <c r="T16" s="7"/>
      <c r="U16" s="6">
        <v>37</v>
      </c>
      <c r="V16" s="44">
        <f t="shared" si="5"/>
        <v>1.9817889662560258E-2</v>
      </c>
      <c r="W16" s="8">
        <v>1867</v>
      </c>
    </row>
    <row r="17" spans="1:23" x14ac:dyDescent="0.25">
      <c r="A17" s="5">
        <v>1971</v>
      </c>
      <c r="B17" s="6" t="s">
        <v>11</v>
      </c>
      <c r="C17" s="8">
        <v>1221</v>
      </c>
      <c r="D17" s="74">
        <f t="shared" si="6"/>
        <v>0.65539452495974238</v>
      </c>
      <c r="E17" s="7">
        <v>53.1</v>
      </c>
      <c r="F17" s="44">
        <f t="shared" si="3"/>
        <v>0.65539452495974238</v>
      </c>
      <c r="G17" s="6">
        <v>597</v>
      </c>
      <c r="H17" s="74">
        <f t="shared" si="0"/>
        <v>0.32045088566827695</v>
      </c>
      <c r="I17" s="44">
        <f t="shared" si="2"/>
        <v>0.32045088566827695</v>
      </c>
      <c r="J17" s="7">
        <v>39.4</v>
      </c>
      <c r="K17" s="6">
        <v>9</v>
      </c>
      <c r="L17" s="74">
        <f t="shared" si="1"/>
        <v>4.830917874396135E-3</v>
      </c>
      <c r="M17" s="44">
        <f t="shared" si="4"/>
        <v>4.830917874396135E-3</v>
      </c>
      <c r="N17" s="7">
        <v>4.2</v>
      </c>
      <c r="O17" s="7"/>
      <c r="P17" s="7"/>
      <c r="Q17" s="7"/>
      <c r="R17" s="7"/>
      <c r="S17" s="7"/>
      <c r="T17" s="7"/>
      <c r="U17" s="6">
        <v>36</v>
      </c>
      <c r="V17" s="44">
        <f t="shared" si="5"/>
        <v>1.932367149758454E-2</v>
      </c>
      <c r="W17" s="8">
        <v>1863</v>
      </c>
    </row>
    <row r="18" spans="1:23" x14ac:dyDescent="0.25">
      <c r="A18" s="5">
        <v>1968</v>
      </c>
      <c r="B18" s="6" t="s">
        <v>10</v>
      </c>
      <c r="C18" s="6">
        <v>350</v>
      </c>
      <c r="D18" s="74">
        <f t="shared" si="6"/>
        <v>0.1878690284487386</v>
      </c>
      <c r="E18" s="7">
        <v>28.3</v>
      </c>
      <c r="F18" s="44">
        <f t="shared" si="3"/>
        <v>0.1878690284487386</v>
      </c>
      <c r="G18" s="8">
        <v>1438</v>
      </c>
      <c r="H18" s="74">
        <f t="shared" si="0"/>
        <v>0.77187332259796027</v>
      </c>
      <c r="I18" s="44">
        <f t="shared" si="2"/>
        <v>0.77187332259796027</v>
      </c>
      <c r="J18" s="7">
        <v>60.1</v>
      </c>
      <c r="K18" s="6">
        <v>10</v>
      </c>
      <c r="L18" s="74">
        <f t="shared" si="1"/>
        <v>5.3676865271068174E-3</v>
      </c>
      <c r="M18" s="44">
        <f t="shared" si="4"/>
        <v>5.3676865271068174E-3</v>
      </c>
      <c r="N18" s="7">
        <v>7.2</v>
      </c>
      <c r="O18" s="7"/>
      <c r="P18" s="7"/>
      <c r="Q18" s="7"/>
      <c r="R18" s="7"/>
      <c r="S18" s="7"/>
      <c r="T18" s="7"/>
      <c r="U18" s="6">
        <v>65</v>
      </c>
      <c r="V18" s="44">
        <f t="shared" si="5"/>
        <v>3.4889962426194313E-2</v>
      </c>
      <c r="W18" s="8">
        <v>1863</v>
      </c>
    </row>
    <row r="19" spans="1:23" x14ac:dyDescent="0.25">
      <c r="A19" s="5">
        <v>1964</v>
      </c>
      <c r="B19" s="6" t="s">
        <v>11</v>
      </c>
      <c r="C19" s="8">
        <v>1112</v>
      </c>
      <c r="D19" s="74">
        <f t="shared" si="6"/>
        <v>0.59817105970952122</v>
      </c>
      <c r="E19" s="8"/>
      <c r="F19" s="44">
        <f t="shared" si="3"/>
        <v>0.59817105970952122</v>
      </c>
      <c r="G19" s="6">
        <v>668</v>
      </c>
      <c r="H19" s="74">
        <f t="shared" si="0"/>
        <v>0.35933297471759013</v>
      </c>
      <c r="I19" s="44">
        <f t="shared" si="2"/>
        <v>0.35933297471759013</v>
      </c>
      <c r="J19" s="8"/>
      <c r="K19" s="6">
        <v>13</v>
      </c>
      <c r="L19" s="74">
        <f t="shared" si="1"/>
        <v>6.993006993006993E-3</v>
      </c>
      <c r="M19" s="44">
        <f t="shared" si="4"/>
        <v>6.993006993006993E-3</v>
      </c>
      <c r="N19" s="8"/>
      <c r="O19" s="8"/>
      <c r="P19" s="8"/>
      <c r="Q19" s="8"/>
      <c r="R19" s="8"/>
      <c r="S19" s="8"/>
      <c r="T19" s="8"/>
      <c r="U19" s="6">
        <v>65</v>
      </c>
      <c r="V19" s="44">
        <f t="shared" si="5"/>
        <v>3.4965034965034968E-2</v>
      </c>
      <c r="W19" s="8">
        <v>1859</v>
      </c>
    </row>
  </sheetData>
  <phoneticPr fontId="0" type="noConversion"/>
  <pageMargins left="0.75" right="0.75" top="1" bottom="1" header="0.5" footer="0.5"/>
  <pageSetup paperSize="9" orientation="portrait" r:id="rId1"/>
  <headerFooter alignWithMargins="0"/>
</worksheet>
</file>

<file path=docMetadata/LabelInfo.xml><?xml version="1.0" encoding="utf-8"?>
<clbl:labelList xmlns:clbl="http://schemas.microsoft.com/office/2020/mipLabelMetadata">
  <clbl:label id="{1ce6dd9e-b337-4088-be5e-8dbbec04b34a}" enabled="0" method="" siteId="{1ce6dd9e-b337-4088-be5e-8dbbec04b3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Results</vt:lpstr>
      <vt:lpstr>Candidates and councillors</vt:lpstr>
      <vt:lpstr>London</vt:lpstr>
    </vt:vector>
  </TitlesOfParts>
  <Company>Potato Salad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Pack</dc:creator>
  <cp:lastModifiedBy>PACK, Lord</cp:lastModifiedBy>
  <cp:lastPrinted>2001-09-09T18:54:39Z</cp:lastPrinted>
  <dcterms:created xsi:type="dcterms:W3CDTF">2001-06-23T18:23:39Z</dcterms:created>
  <dcterms:modified xsi:type="dcterms:W3CDTF">2026-05-11T09:16:06Z</dcterms:modified>
</cp:coreProperties>
</file>