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Teams\Statistics\Subjects\Elections\Local Elections\2017\"/>
    </mc:Choice>
  </mc:AlternateContent>
  <bookViews>
    <workbookView xWindow="0" yWindow="0" windowWidth="28800" windowHeight="12495" activeTab="3"/>
  </bookViews>
  <sheets>
    <sheet name="England" sheetId="1" r:id="rId1"/>
    <sheet name="Scotland" sheetId="2" r:id="rId2"/>
    <sheet name="Wales" sheetId="3" r:id="rId3"/>
    <sheet name="Mayor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4" l="1"/>
  <c r="J13" i="4"/>
  <c r="Z24" i="3" l="1"/>
  <c r="Y24" i="3"/>
  <c r="X24" i="3"/>
  <c r="W24" i="3"/>
  <c r="V24" i="3"/>
  <c r="R24" i="3"/>
  <c r="S24" i="3" s="1"/>
  <c r="U24" i="3" s="1"/>
  <c r="K24" i="3"/>
  <c r="L24" i="3" s="1"/>
  <c r="Z23" i="3"/>
  <c r="Y23" i="3"/>
  <c r="X23" i="3"/>
  <c r="W23" i="3"/>
  <c r="V23" i="3"/>
  <c r="S23" i="3"/>
  <c r="R23" i="3"/>
  <c r="K23" i="3"/>
  <c r="L23" i="3" s="1"/>
  <c r="T23" i="3" s="1"/>
  <c r="Z22" i="3"/>
  <c r="Y22" i="3"/>
  <c r="X22" i="3"/>
  <c r="W22" i="3"/>
  <c r="V22" i="3"/>
  <c r="R22" i="3"/>
  <c r="S22" i="3" s="1"/>
  <c r="K22" i="3"/>
  <c r="L22" i="3" s="1"/>
  <c r="T22" i="3" s="1"/>
  <c r="Z21" i="3"/>
  <c r="Y21" i="3"/>
  <c r="X21" i="3"/>
  <c r="W21" i="3"/>
  <c r="V21" i="3"/>
  <c r="R21" i="3"/>
  <c r="S21" i="3" s="1"/>
  <c r="U21" i="3" s="1"/>
  <c r="L21" i="3"/>
  <c r="K21" i="3"/>
  <c r="Z20" i="3"/>
  <c r="Y20" i="3"/>
  <c r="X20" i="3"/>
  <c r="W20" i="3"/>
  <c r="V20" i="3"/>
  <c r="R20" i="3"/>
  <c r="S20" i="3" s="1"/>
  <c r="U20" i="3" s="1"/>
  <c r="K20" i="3"/>
  <c r="L20" i="3" s="1"/>
  <c r="Z19" i="3"/>
  <c r="Y19" i="3"/>
  <c r="X19" i="3"/>
  <c r="W19" i="3"/>
  <c r="V19" i="3"/>
  <c r="S19" i="3"/>
  <c r="R19" i="3"/>
  <c r="K19" i="3"/>
  <c r="L19" i="3" s="1"/>
  <c r="T19" i="3" s="1"/>
  <c r="Z18" i="3"/>
  <c r="Y18" i="3"/>
  <c r="X18" i="3"/>
  <c r="W18" i="3"/>
  <c r="V18" i="3"/>
  <c r="R18" i="3"/>
  <c r="S18" i="3" s="1"/>
  <c r="K18" i="3"/>
  <c r="L18" i="3" s="1"/>
  <c r="T18" i="3" s="1"/>
  <c r="Z17" i="3"/>
  <c r="Y17" i="3"/>
  <c r="X17" i="3"/>
  <c r="W17" i="3"/>
  <c r="V17" i="3"/>
  <c r="R17" i="3"/>
  <c r="S17" i="3" s="1"/>
  <c r="U17" i="3" s="1"/>
  <c r="L17" i="3"/>
  <c r="K17" i="3"/>
  <c r="Z16" i="3"/>
  <c r="Y16" i="3"/>
  <c r="X16" i="3"/>
  <c r="W16" i="3"/>
  <c r="V16" i="3"/>
  <c r="R16" i="3"/>
  <c r="S16" i="3" s="1"/>
  <c r="U16" i="3" s="1"/>
  <c r="K16" i="3"/>
  <c r="L16" i="3" s="1"/>
  <c r="Z15" i="3"/>
  <c r="Y15" i="3"/>
  <c r="X15" i="3"/>
  <c r="W15" i="3"/>
  <c r="V15" i="3"/>
  <c r="S15" i="3"/>
  <c r="R15" i="3"/>
  <c r="K15" i="3"/>
  <c r="L15" i="3" s="1"/>
  <c r="T15" i="3" s="1"/>
  <c r="Z14" i="3"/>
  <c r="Y14" i="3"/>
  <c r="X14" i="3"/>
  <c r="W14" i="3"/>
  <c r="V14" i="3"/>
  <c r="R14" i="3"/>
  <c r="S14" i="3" s="1"/>
  <c r="K14" i="3"/>
  <c r="L14" i="3" s="1"/>
  <c r="T14" i="3" s="1"/>
  <c r="Z13" i="3"/>
  <c r="Y13" i="3"/>
  <c r="X13" i="3"/>
  <c r="W13" i="3"/>
  <c r="V13" i="3"/>
  <c r="R13" i="3"/>
  <c r="S13" i="3" s="1"/>
  <c r="U13" i="3" s="1"/>
  <c r="L13" i="3"/>
  <c r="K13" i="3"/>
  <c r="Z12" i="3"/>
  <c r="Y12" i="3"/>
  <c r="X12" i="3"/>
  <c r="W12" i="3"/>
  <c r="V12" i="3"/>
  <c r="R12" i="3"/>
  <c r="S12" i="3" s="1"/>
  <c r="U12" i="3" s="1"/>
  <c r="K12" i="3"/>
  <c r="L12" i="3" s="1"/>
  <c r="Z11" i="3"/>
  <c r="Y11" i="3"/>
  <c r="X11" i="3"/>
  <c r="W11" i="3"/>
  <c r="V11" i="3"/>
  <c r="S11" i="3"/>
  <c r="R11" i="3"/>
  <c r="K11" i="3"/>
  <c r="L11" i="3" s="1"/>
  <c r="T11" i="3" s="1"/>
  <c r="Z10" i="3"/>
  <c r="Y10" i="3"/>
  <c r="X10" i="3"/>
  <c r="W10" i="3"/>
  <c r="V10" i="3"/>
  <c r="R10" i="3"/>
  <c r="S10" i="3" s="1"/>
  <c r="K10" i="3"/>
  <c r="L10" i="3" s="1"/>
  <c r="T10" i="3" s="1"/>
  <c r="Z9" i="3"/>
  <c r="Y9" i="3"/>
  <c r="X9" i="3"/>
  <c r="W9" i="3"/>
  <c r="V9" i="3"/>
  <c r="R9" i="3"/>
  <c r="S9" i="3" s="1"/>
  <c r="U9" i="3" s="1"/>
  <c r="L9" i="3"/>
  <c r="K9" i="3"/>
  <c r="Z8" i="3"/>
  <c r="Y8" i="3"/>
  <c r="X8" i="3"/>
  <c r="W8" i="3"/>
  <c r="V8" i="3"/>
  <c r="R8" i="3"/>
  <c r="S8" i="3" s="1"/>
  <c r="U8" i="3" s="1"/>
  <c r="K8" i="3"/>
  <c r="L8" i="3" s="1"/>
  <c r="Z7" i="3"/>
  <c r="Y7" i="3"/>
  <c r="X7" i="3"/>
  <c r="W7" i="3"/>
  <c r="V7" i="3"/>
  <c r="S7" i="3"/>
  <c r="R7" i="3"/>
  <c r="K7" i="3"/>
  <c r="L7" i="3" s="1"/>
  <c r="T7" i="3" s="1"/>
  <c r="Z6" i="3"/>
  <c r="Y6" i="3"/>
  <c r="X6" i="3"/>
  <c r="W6" i="3"/>
  <c r="V6" i="3"/>
  <c r="R6" i="3"/>
  <c r="S6" i="3" s="1"/>
  <c r="K6" i="3"/>
  <c r="L6" i="3" s="1"/>
  <c r="T6" i="3" s="1"/>
  <c r="Z5" i="3"/>
  <c r="Y5" i="3"/>
  <c r="X5" i="3"/>
  <c r="W5" i="3"/>
  <c r="V5" i="3"/>
  <c r="R5" i="3"/>
  <c r="S5" i="3" s="1"/>
  <c r="U5" i="3" s="1"/>
  <c r="L5" i="3"/>
  <c r="K5" i="3"/>
  <c r="Z4" i="3"/>
  <c r="Y4" i="3"/>
  <c r="X4" i="3"/>
  <c r="W4" i="3"/>
  <c r="V4" i="3"/>
  <c r="R4" i="3"/>
  <c r="S4" i="3" s="1"/>
  <c r="U4" i="3" s="1"/>
  <c r="K4" i="3"/>
  <c r="L4" i="3" s="1"/>
  <c r="Z3" i="3"/>
  <c r="Y3" i="3"/>
  <c r="X3" i="3"/>
  <c r="W3" i="3"/>
  <c r="V3" i="3"/>
  <c r="S3" i="3"/>
  <c r="R3" i="3"/>
  <c r="K3" i="3"/>
  <c r="L3" i="3" s="1"/>
  <c r="T3" i="3" s="1"/>
  <c r="Z34" i="2"/>
  <c r="Y34" i="2"/>
  <c r="X34" i="2"/>
  <c r="W34" i="2"/>
  <c r="V34" i="2"/>
  <c r="R34" i="2"/>
  <c r="S34" i="2" s="1"/>
  <c r="U34" i="2" s="1"/>
  <c r="K34" i="2"/>
  <c r="L34" i="2" s="1"/>
  <c r="Z33" i="2"/>
  <c r="Y33" i="2"/>
  <c r="X33" i="2"/>
  <c r="W33" i="2"/>
  <c r="V33" i="2"/>
  <c r="S33" i="2"/>
  <c r="R33" i="2"/>
  <c r="K33" i="2"/>
  <c r="L33" i="2" s="1"/>
  <c r="T33" i="2" s="1"/>
  <c r="Z32" i="2"/>
  <c r="Y32" i="2"/>
  <c r="X32" i="2"/>
  <c r="W32" i="2"/>
  <c r="V32" i="2"/>
  <c r="R32" i="2"/>
  <c r="S32" i="2" s="1"/>
  <c r="K32" i="2"/>
  <c r="L32" i="2" s="1"/>
  <c r="T32" i="2" s="1"/>
  <c r="Z31" i="2"/>
  <c r="Y31" i="2"/>
  <c r="X31" i="2"/>
  <c r="W31" i="2"/>
  <c r="V31" i="2"/>
  <c r="R31" i="2"/>
  <c r="S31" i="2" s="1"/>
  <c r="U31" i="2" s="1"/>
  <c r="L31" i="2"/>
  <c r="K31" i="2"/>
  <c r="Z30" i="2"/>
  <c r="Y30" i="2"/>
  <c r="X30" i="2"/>
  <c r="W30" i="2"/>
  <c r="V30" i="2"/>
  <c r="R30" i="2"/>
  <c r="S30" i="2" s="1"/>
  <c r="U30" i="2" s="1"/>
  <c r="K30" i="2"/>
  <c r="L30" i="2" s="1"/>
  <c r="Z29" i="2"/>
  <c r="Y29" i="2"/>
  <c r="X29" i="2"/>
  <c r="W29" i="2"/>
  <c r="V29" i="2"/>
  <c r="S29" i="2"/>
  <c r="U29" i="2" s="1"/>
  <c r="R29" i="2"/>
  <c r="K29" i="2"/>
  <c r="L29" i="2" s="1"/>
  <c r="T29" i="2" s="1"/>
  <c r="Z28" i="2"/>
  <c r="Y28" i="2"/>
  <c r="X28" i="2"/>
  <c r="W28" i="2"/>
  <c r="V28" i="2"/>
  <c r="R28" i="2"/>
  <c r="S28" i="2" s="1"/>
  <c r="K28" i="2"/>
  <c r="L28" i="2" s="1"/>
  <c r="T28" i="2" s="1"/>
  <c r="Z27" i="2"/>
  <c r="Y27" i="2"/>
  <c r="X27" i="2"/>
  <c r="W27" i="2"/>
  <c r="V27" i="2"/>
  <c r="R27" i="2"/>
  <c r="S27" i="2" s="1"/>
  <c r="U27" i="2" s="1"/>
  <c r="L27" i="2"/>
  <c r="K27" i="2"/>
  <c r="Z26" i="2"/>
  <c r="Y26" i="2"/>
  <c r="X26" i="2"/>
  <c r="W26" i="2"/>
  <c r="V26" i="2"/>
  <c r="R26" i="2"/>
  <c r="S26" i="2" s="1"/>
  <c r="U26" i="2" s="1"/>
  <c r="K26" i="2"/>
  <c r="L26" i="2" s="1"/>
  <c r="Z25" i="2"/>
  <c r="Y25" i="2"/>
  <c r="X25" i="2"/>
  <c r="W25" i="2"/>
  <c r="V25" i="2"/>
  <c r="S25" i="2"/>
  <c r="R25" i="2"/>
  <c r="K25" i="2"/>
  <c r="L25" i="2" s="1"/>
  <c r="T25" i="2" s="1"/>
  <c r="Z24" i="2"/>
  <c r="Y24" i="2"/>
  <c r="X24" i="2"/>
  <c r="W24" i="2"/>
  <c r="V24" i="2"/>
  <c r="R24" i="2"/>
  <c r="S24" i="2" s="1"/>
  <c r="K24" i="2"/>
  <c r="L24" i="2" s="1"/>
  <c r="T24" i="2" s="1"/>
  <c r="Z23" i="2"/>
  <c r="Y23" i="2"/>
  <c r="X23" i="2"/>
  <c r="W23" i="2"/>
  <c r="V23" i="2"/>
  <c r="R23" i="2"/>
  <c r="S23" i="2" s="1"/>
  <c r="U23" i="2" s="1"/>
  <c r="L23" i="2"/>
  <c r="K23" i="2"/>
  <c r="Z22" i="2"/>
  <c r="Y22" i="2"/>
  <c r="X22" i="2"/>
  <c r="W22" i="2"/>
  <c r="V22" i="2"/>
  <c r="R22" i="2"/>
  <c r="S22" i="2" s="1"/>
  <c r="U22" i="2" s="1"/>
  <c r="K22" i="2"/>
  <c r="L22" i="2" s="1"/>
  <c r="Z21" i="2"/>
  <c r="Y21" i="2"/>
  <c r="X21" i="2"/>
  <c r="W21" i="2"/>
  <c r="V21" i="2"/>
  <c r="S21" i="2"/>
  <c r="U21" i="2" s="1"/>
  <c r="R21" i="2"/>
  <c r="K21" i="2"/>
  <c r="L21" i="2" s="1"/>
  <c r="T21" i="2" s="1"/>
  <c r="Z20" i="2"/>
  <c r="Y20" i="2"/>
  <c r="X20" i="2"/>
  <c r="W20" i="2"/>
  <c r="V20" i="2"/>
  <c r="R20" i="2"/>
  <c r="S20" i="2" s="1"/>
  <c r="K20" i="2"/>
  <c r="L20" i="2" s="1"/>
  <c r="T20" i="2" s="1"/>
  <c r="Z19" i="2"/>
  <c r="Y19" i="2"/>
  <c r="X19" i="2"/>
  <c r="W19" i="2"/>
  <c r="V19" i="2"/>
  <c r="R19" i="2"/>
  <c r="S19" i="2" s="1"/>
  <c r="U19" i="2" s="1"/>
  <c r="L19" i="2"/>
  <c r="K19" i="2"/>
  <c r="Z18" i="2"/>
  <c r="Y18" i="2"/>
  <c r="X18" i="2"/>
  <c r="W18" i="2"/>
  <c r="V18" i="2"/>
  <c r="R18" i="2"/>
  <c r="S18" i="2" s="1"/>
  <c r="U18" i="2" s="1"/>
  <c r="K18" i="2"/>
  <c r="L18" i="2" s="1"/>
  <c r="Z17" i="2"/>
  <c r="Y17" i="2"/>
  <c r="X17" i="2"/>
  <c r="W17" i="2"/>
  <c r="V17" i="2"/>
  <c r="S17" i="2"/>
  <c r="R17" i="2"/>
  <c r="K17" i="2"/>
  <c r="L17" i="2" s="1"/>
  <c r="T17" i="2" s="1"/>
  <c r="Z16" i="2"/>
  <c r="Y16" i="2"/>
  <c r="X16" i="2"/>
  <c r="W16" i="2"/>
  <c r="V16" i="2"/>
  <c r="R16" i="2"/>
  <c r="S16" i="2" s="1"/>
  <c r="K16" i="2"/>
  <c r="L16" i="2" s="1"/>
  <c r="T16" i="2" s="1"/>
  <c r="Z15" i="2"/>
  <c r="Y15" i="2"/>
  <c r="X15" i="2"/>
  <c r="W15" i="2"/>
  <c r="V15" i="2"/>
  <c r="R15" i="2"/>
  <c r="S15" i="2" s="1"/>
  <c r="U15" i="2" s="1"/>
  <c r="L15" i="2"/>
  <c r="K15" i="2"/>
  <c r="Z14" i="2"/>
  <c r="Y14" i="2"/>
  <c r="X14" i="2"/>
  <c r="W14" i="2"/>
  <c r="V14" i="2"/>
  <c r="R14" i="2"/>
  <c r="S14" i="2" s="1"/>
  <c r="U14" i="2" s="1"/>
  <c r="K14" i="2"/>
  <c r="L14" i="2" s="1"/>
  <c r="Z13" i="2"/>
  <c r="Y13" i="2"/>
  <c r="X13" i="2"/>
  <c r="W13" i="2"/>
  <c r="V13" i="2"/>
  <c r="S13" i="2"/>
  <c r="U13" i="2" s="1"/>
  <c r="R13" i="2"/>
  <c r="K13" i="2"/>
  <c r="L13" i="2" s="1"/>
  <c r="T13" i="2" s="1"/>
  <c r="Z12" i="2"/>
  <c r="Y12" i="2"/>
  <c r="X12" i="2"/>
  <c r="W12" i="2"/>
  <c r="V12" i="2"/>
  <c r="R12" i="2"/>
  <c r="S12" i="2" s="1"/>
  <c r="K12" i="2"/>
  <c r="L12" i="2" s="1"/>
  <c r="T12" i="2" s="1"/>
  <c r="Z11" i="2"/>
  <c r="Y11" i="2"/>
  <c r="X11" i="2"/>
  <c r="W11" i="2"/>
  <c r="V11" i="2"/>
  <c r="R11" i="2"/>
  <c r="S11" i="2" s="1"/>
  <c r="U11" i="2" s="1"/>
  <c r="L11" i="2"/>
  <c r="K11" i="2"/>
  <c r="Z10" i="2"/>
  <c r="Y10" i="2"/>
  <c r="X10" i="2"/>
  <c r="W10" i="2"/>
  <c r="V10" i="2"/>
  <c r="R10" i="2"/>
  <c r="S10" i="2" s="1"/>
  <c r="U10" i="2" s="1"/>
  <c r="K10" i="2"/>
  <c r="L10" i="2" s="1"/>
  <c r="Z9" i="2"/>
  <c r="Y9" i="2"/>
  <c r="X9" i="2"/>
  <c r="W9" i="2"/>
  <c r="V9" i="2"/>
  <c r="S9" i="2"/>
  <c r="R9" i="2"/>
  <c r="K9" i="2"/>
  <c r="L9" i="2" s="1"/>
  <c r="T9" i="2" s="1"/>
  <c r="Z8" i="2"/>
  <c r="Y8" i="2"/>
  <c r="X8" i="2"/>
  <c r="W8" i="2"/>
  <c r="V8" i="2"/>
  <c r="R8" i="2"/>
  <c r="S8" i="2" s="1"/>
  <c r="K8" i="2"/>
  <c r="L8" i="2" s="1"/>
  <c r="T8" i="2" s="1"/>
  <c r="Z7" i="2"/>
  <c r="Y7" i="2"/>
  <c r="X7" i="2"/>
  <c r="W7" i="2"/>
  <c r="V7" i="2"/>
  <c r="R7" i="2"/>
  <c r="S7" i="2" s="1"/>
  <c r="U7" i="2" s="1"/>
  <c r="L7" i="2"/>
  <c r="K7" i="2"/>
  <c r="Z6" i="2"/>
  <c r="Y6" i="2"/>
  <c r="X6" i="2"/>
  <c r="W6" i="2"/>
  <c r="V6" i="2"/>
  <c r="R6" i="2"/>
  <c r="S6" i="2" s="1"/>
  <c r="U6" i="2" s="1"/>
  <c r="K6" i="2"/>
  <c r="L6" i="2" s="1"/>
  <c r="Z5" i="2"/>
  <c r="Y5" i="2"/>
  <c r="X5" i="2"/>
  <c r="W5" i="2"/>
  <c r="V5" i="2"/>
  <c r="S5" i="2"/>
  <c r="U5" i="2" s="1"/>
  <c r="R5" i="2"/>
  <c r="K5" i="2"/>
  <c r="L5" i="2" s="1"/>
  <c r="T5" i="2" s="1"/>
  <c r="Z4" i="2"/>
  <c r="Y4" i="2"/>
  <c r="X4" i="2"/>
  <c r="W4" i="2"/>
  <c r="V4" i="2"/>
  <c r="R4" i="2"/>
  <c r="S4" i="2" s="1"/>
  <c r="K4" i="2"/>
  <c r="L4" i="2" s="1"/>
  <c r="T4" i="2" s="1"/>
  <c r="Z3" i="2"/>
  <c r="Y3" i="2"/>
  <c r="X3" i="2"/>
  <c r="W3" i="2"/>
  <c r="V3" i="2"/>
  <c r="R3" i="2"/>
  <c r="S3" i="2" s="1"/>
  <c r="U3" i="2" s="1"/>
  <c r="L3" i="2"/>
  <c r="K3" i="2"/>
  <c r="AC36" i="1"/>
  <c r="AB36" i="1"/>
  <c r="AA36" i="1"/>
  <c r="Z36" i="1"/>
  <c r="Y36" i="1"/>
  <c r="X36" i="1"/>
  <c r="U36" i="1"/>
  <c r="W36" i="1" s="1"/>
  <c r="T36" i="1"/>
  <c r="L36" i="1"/>
  <c r="M36" i="1" s="1"/>
  <c r="AC35" i="1"/>
  <c r="AB35" i="1"/>
  <c r="AA35" i="1"/>
  <c r="Z35" i="1"/>
  <c r="Y35" i="1"/>
  <c r="X35" i="1"/>
  <c r="T35" i="1"/>
  <c r="U35" i="1" s="1"/>
  <c r="W35" i="1" s="1"/>
  <c r="L35" i="1"/>
  <c r="M35" i="1" s="1"/>
  <c r="AC34" i="1"/>
  <c r="AB34" i="1"/>
  <c r="AA34" i="1"/>
  <c r="Z34" i="1"/>
  <c r="Y34" i="1"/>
  <c r="X34" i="1"/>
  <c r="T34" i="1"/>
  <c r="U34" i="1" s="1"/>
  <c r="W34" i="1" s="1"/>
  <c r="L34" i="1"/>
  <c r="M34" i="1" s="1"/>
  <c r="AC33" i="1"/>
  <c r="AB33" i="1"/>
  <c r="AA33" i="1"/>
  <c r="Z33" i="1"/>
  <c r="Y33" i="1"/>
  <c r="X33" i="1"/>
  <c r="T33" i="1"/>
  <c r="U33" i="1" s="1"/>
  <c r="W33" i="1" s="1"/>
  <c r="L33" i="1"/>
  <c r="M33" i="1" s="1"/>
  <c r="AC32" i="1"/>
  <c r="AB32" i="1"/>
  <c r="AA32" i="1"/>
  <c r="Z32" i="1"/>
  <c r="Y32" i="1"/>
  <c r="X32" i="1"/>
  <c r="U32" i="1"/>
  <c r="W32" i="1" s="1"/>
  <c r="T32" i="1"/>
  <c r="L32" i="1"/>
  <c r="M32" i="1" s="1"/>
  <c r="AC31" i="1"/>
  <c r="AB31" i="1"/>
  <c r="AA31" i="1"/>
  <c r="Z31" i="1"/>
  <c r="Y31" i="1"/>
  <c r="X31" i="1"/>
  <c r="T31" i="1"/>
  <c r="U31" i="1" s="1"/>
  <c r="W31" i="1" s="1"/>
  <c r="L31" i="1"/>
  <c r="M31" i="1" s="1"/>
  <c r="AC30" i="1"/>
  <c r="AB30" i="1"/>
  <c r="AA30" i="1"/>
  <c r="Z30" i="1"/>
  <c r="Y30" i="1"/>
  <c r="X30" i="1"/>
  <c r="T30" i="1"/>
  <c r="U30" i="1" s="1"/>
  <c r="W30" i="1" s="1"/>
  <c r="L30" i="1"/>
  <c r="M30" i="1" s="1"/>
  <c r="AC29" i="1"/>
  <c r="AB29" i="1"/>
  <c r="AA29" i="1"/>
  <c r="Z29" i="1"/>
  <c r="Y29" i="1"/>
  <c r="X29" i="1"/>
  <c r="T29" i="1"/>
  <c r="U29" i="1" s="1"/>
  <c r="W29" i="1" s="1"/>
  <c r="L29" i="1"/>
  <c r="M29" i="1" s="1"/>
  <c r="AC28" i="1"/>
  <c r="AB28" i="1"/>
  <c r="AA28" i="1"/>
  <c r="Z28" i="1"/>
  <c r="Y28" i="1"/>
  <c r="X28" i="1"/>
  <c r="U28" i="1"/>
  <c r="W28" i="1" s="1"/>
  <c r="T28" i="1"/>
  <c r="L28" i="1"/>
  <c r="M28" i="1" s="1"/>
  <c r="AC27" i="1"/>
  <c r="AB27" i="1"/>
  <c r="AA27" i="1"/>
  <c r="Z27" i="1"/>
  <c r="Y27" i="1"/>
  <c r="X27" i="1"/>
  <c r="T27" i="1"/>
  <c r="U27" i="1" s="1"/>
  <c r="W27" i="1" s="1"/>
  <c r="L27" i="1"/>
  <c r="M27" i="1" s="1"/>
  <c r="AC26" i="1"/>
  <c r="AB26" i="1"/>
  <c r="AA26" i="1"/>
  <c r="Z26" i="1"/>
  <c r="Y26" i="1"/>
  <c r="X26" i="1"/>
  <c r="T26" i="1"/>
  <c r="U26" i="1" s="1"/>
  <c r="W26" i="1" s="1"/>
  <c r="L26" i="1"/>
  <c r="M26" i="1" s="1"/>
  <c r="AC25" i="1"/>
  <c r="AB25" i="1"/>
  <c r="AA25" i="1"/>
  <c r="Z25" i="1"/>
  <c r="Y25" i="1"/>
  <c r="X25" i="1"/>
  <c r="T25" i="1"/>
  <c r="U25" i="1" s="1"/>
  <c r="W25" i="1" s="1"/>
  <c r="L25" i="1"/>
  <c r="M25" i="1" s="1"/>
  <c r="AC24" i="1"/>
  <c r="AB24" i="1"/>
  <c r="AA24" i="1"/>
  <c r="Z24" i="1"/>
  <c r="Y24" i="1"/>
  <c r="X24" i="1"/>
  <c r="U24" i="1"/>
  <c r="W24" i="1" s="1"/>
  <c r="T24" i="1"/>
  <c r="L24" i="1"/>
  <c r="M24" i="1" s="1"/>
  <c r="AC23" i="1"/>
  <c r="AB23" i="1"/>
  <c r="AA23" i="1"/>
  <c r="Z23" i="1"/>
  <c r="Y23" i="1"/>
  <c r="X23" i="1"/>
  <c r="T23" i="1"/>
  <c r="U23" i="1" s="1"/>
  <c r="W23" i="1" s="1"/>
  <c r="L23" i="1"/>
  <c r="M23" i="1" s="1"/>
  <c r="AC22" i="1"/>
  <c r="AB22" i="1"/>
  <c r="AA22" i="1"/>
  <c r="Z22" i="1"/>
  <c r="Y22" i="1"/>
  <c r="X22" i="1"/>
  <c r="T22" i="1"/>
  <c r="U22" i="1" s="1"/>
  <c r="W22" i="1" s="1"/>
  <c r="L22" i="1"/>
  <c r="M22" i="1" s="1"/>
  <c r="AC21" i="1"/>
  <c r="AB21" i="1"/>
  <c r="AA21" i="1"/>
  <c r="Z21" i="1"/>
  <c r="Y21" i="1"/>
  <c r="X21" i="1"/>
  <c r="T21" i="1"/>
  <c r="U21" i="1" s="1"/>
  <c r="W21" i="1" s="1"/>
  <c r="L21" i="1"/>
  <c r="M21" i="1" s="1"/>
  <c r="AC20" i="1"/>
  <c r="AB20" i="1"/>
  <c r="AA20" i="1"/>
  <c r="Z20" i="1"/>
  <c r="Y20" i="1"/>
  <c r="X20" i="1"/>
  <c r="U20" i="1"/>
  <c r="W20" i="1" s="1"/>
  <c r="T20" i="1"/>
  <c r="L20" i="1"/>
  <c r="M20" i="1" s="1"/>
  <c r="AC19" i="1"/>
  <c r="AB19" i="1"/>
  <c r="AA19" i="1"/>
  <c r="Z19" i="1"/>
  <c r="Y19" i="1"/>
  <c r="X19" i="1"/>
  <c r="T19" i="1"/>
  <c r="U19" i="1" s="1"/>
  <c r="W19" i="1" s="1"/>
  <c r="L19" i="1"/>
  <c r="M19" i="1" s="1"/>
  <c r="AC18" i="1"/>
  <c r="AB18" i="1"/>
  <c r="AA18" i="1"/>
  <c r="Z18" i="1"/>
  <c r="Y18" i="1"/>
  <c r="X18" i="1"/>
  <c r="U18" i="1"/>
  <c r="W18" i="1" s="1"/>
  <c r="T18" i="1"/>
  <c r="L18" i="1"/>
  <c r="M18" i="1" s="1"/>
  <c r="AC17" i="1"/>
  <c r="AB17" i="1"/>
  <c r="AA17" i="1"/>
  <c r="Z17" i="1"/>
  <c r="Y17" i="1"/>
  <c r="X17" i="1"/>
  <c r="T17" i="1"/>
  <c r="U17" i="1" s="1"/>
  <c r="W17" i="1" s="1"/>
  <c r="L17" i="1"/>
  <c r="M17" i="1" s="1"/>
  <c r="V17" i="1" s="1"/>
  <c r="AC16" i="1"/>
  <c r="AB16" i="1"/>
  <c r="AA16" i="1"/>
  <c r="Z16" i="1"/>
  <c r="Y16" i="1"/>
  <c r="X16" i="1"/>
  <c r="U16" i="1"/>
  <c r="W16" i="1" s="1"/>
  <c r="T16" i="1"/>
  <c r="L16" i="1"/>
  <c r="M16" i="1" s="1"/>
  <c r="AC15" i="1"/>
  <c r="AB15" i="1"/>
  <c r="AA15" i="1"/>
  <c r="Z15" i="1"/>
  <c r="Y15" i="1"/>
  <c r="X15" i="1"/>
  <c r="T15" i="1"/>
  <c r="U15" i="1" s="1"/>
  <c r="W15" i="1" s="1"/>
  <c r="L15" i="1"/>
  <c r="M15" i="1" s="1"/>
  <c r="V15" i="1" s="1"/>
  <c r="AC14" i="1"/>
  <c r="AB14" i="1"/>
  <c r="AA14" i="1"/>
  <c r="Z14" i="1"/>
  <c r="Y14" i="1"/>
  <c r="X14" i="1"/>
  <c r="U14" i="1"/>
  <c r="W14" i="1" s="1"/>
  <c r="T14" i="1"/>
  <c r="L14" i="1"/>
  <c r="M14" i="1" s="1"/>
  <c r="AC13" i="1"/>
  <c r="AB13" i="1"/>
  <c r="AA13" i="1"/>
  <c r="Z13" i="1"/>
  <c r="Y13" i="1"/>
  <c r="X13" i="1"/>
  <c r="T13" i="1"/>
  <c r="U13" i="1" s="1"/>
  <c r="W13" i="1" s="1"/>
  <c r="L13" i="1"/>
  <c r="M13" i="1" s="1"/>
  <c r="AC12" i="1"/>
  <c r="AB12" i="1"/>
  <c r="AA12" i="1"/>
  <c r="Z12" i="1"/>
  <c r="Y12" i="1"/>
  <c r="X12" i="1"/>
  <c r="U12" i="1"/>
  <c r="W12" i="1" s="1"/>
  <c r="T12" i="1"/>
  <c r="L12" i="1"/>
  <c r="M12" i="1" s="1"/>
  <c r="AC11" i="1"/>
  <c r="AB11" i="1"/>
  <c r="AA11" i="1"/>
  <c r="Z11" i="1"/>
  <c r="Y11" i="1"/>
  <c r="X11" i="1"/>
  <c r="T11" i="1"/>
  <c r="U11" i="1" s="1"/>
  <c r="W11" i="1" s="1"/>
  <c r="L11" i="1"/>
  <c r="M11" i="1" s="1"/>
  <c r="AC10" i="1"/>
  <c r="AB10" i="1"/>
  <c r="AA10" i="1"/>
  <c r="Z10" i="1"/>
  <c r="Y10" i="1"/>
  <c r="X10" i="1"/>
  <c r="U10" i="1"/>
  <c r="W10" i="1" s="1"/>
  <c r="T10" i="1"/>
  <c r="L10" i="1"/>
  <c r="M10" i="1" s="1"/>
  <c r="AC9" i="1"/>
  <c r="AB9" i="1"/>
  <c r="AA9" i="1"/>
  <c r="Z9" i="1"/>
  <c r="Y9" i="1"/>
  <c r="X9" i="1"/>
  <c r="T9" i="1"/>
  <c r="U9" i="1" s="1"/>
  <c r="W9" i="1" s="1"/>
  <c r="L9" i="1"/>
  <c r="M9" i="1" s="1"/>
  <c r="V9" i="1" s="1"/>
  <c r="AC8" i="1"/>
  <c r="AB8" i="1"/>
  <c r="AA8" i="1"/>
  <c r="Z8" i="1"/>
  <c r="Y8" i="1"/>
  <c r="X8" i="1"/>
  <c r="U8" i="1"/>
  <c r="W8" i="1" s="1"/>
  <c r="T8" i="1"/>
  <c r="L8" i="1"/>
  <c r="M8" i="1" s="1"/>
  <c r="AC7" i="1"/>
  <c r="AB7" i="1"/>
  <c r="AA7" i="1"/>
  <c r="Z7" i="1"/>
  <c r="Y7" i="1"/>
  <c r="X7" i="1"/>
  <c r="T7" i="1"/>
  <c r="U7" i="1" s="1"/>
  <c r="W7" i="1" s="1"/>
  <c r="L7" i="1"/>
  <c r="M7" i="1" s="1"/>
  <c r="V7" i="1" s="1"/>
  <c r="AC6" i="1"/>
  <c r="AB6" i="1"/>
  <c r="AA6" i="1"/>
  <c r="Z6" i="1"/>
  <c r="Y6" i="1"/>
  <c r="X6" i="1"/>
  <c r="U6" i="1"/>
  <c r="W6" i="1" s="1"/>
  <c r="T6" i="1"/>
  <c r="L6" i="1"/>
  <c r="M6" i="1" s="1"/>
  <c r="AC5" i="1"/>
  <c r="AB5" i="1"/>
  <c r="AA5" i="1"/>
  <c r="Z5" i="1"/>
  <c r="Y5" i="1"/>
  <c r="X5" i="1"/>
  <c r="T5" i="1"/>
  <c r="U5" i="1" s="1"/>
  <c r="W5" i="1" s="1"/>
  <c r="L5" i="1"/>
  <c r="M5" i="1" s="1"/>
  <c r="AC4" i="1"/>
  <c r="AB4" i="1"/>
  <c r="AA4" i="1"/>
  <c r="Z4" i="1"/>
  <c r="Y4" i="1"/>
  <c r="X4" i="1"/>
  <c r="U4" i="1"/>
  <c r="W4" i="1" s="1"/>
  <c r="T4" i="1"/>
  <c r="L4" i="1"/>
  <c r="M4" i="1" s="1"/>
  <c r="AC3" i="1"/>
  <c r="AB3" i="1"/>
  <c r="AA3" i="1"/>
  <c r="Z3" i="1"/>
  <c r="Y3" i="1"/>
  <c r="X3" i="1"/>
  <c r="T3" i="1"/>
  <c r="U3" i="1" s="1"/>
  <c r="W3" i="1" s="1"/>
  <c r="L3" i="1"/>
  <c r="M3" i="1" s="1"/>
  <c r="U3" i="3" l="1"/>
  <c r="T8" i="3"/>
  <c r="T9" i="3"/>
  <c r="U10" i="3"/>
  <c r="U11" i="3"/>
  <c r="T16" i="3"/>
  <c r="T17" i="3"/>
  <c r="U18" i="3"/>
  <c r="U19" i="3"/>
  <c r="T24" i="3"/>
  <c r="T4" i="3"/>
  <c r="T5" i="3"/>
  <c r="U6" i="3"/>
  <c r="U7" i="3"/>
  <c r="T12" i="3"/>
  <c r="T13" i="3"/>
  <c r="U14" i="3"/>
  <c r="U15" i="3"/>
  <c r="T20" i="3"/>
  <c r="T21" i="3"/>
  <c r="U22" i="3"/>
  <c r="U23" i="3"/>
  <c r="T3" i="2"/>
  <c r="U4" i="2"/>
  <c r="T10" i="2"/>
  <c r="T11" i="2"/>
  <c r="U12" i="2"/>
  <c r="T18" i="2"/>
  <c r="T19" i="2"/>
  <c r="U20" i="2"/>
  <c r="T26" i="2"/>
  <c r="T27" i="2"/>
  <c r="U28" i="2"/>
  <c r="T34" i="2"/>
  <c r="T6" i="2"/>
  <c r="T7" i="2"/>
  <c r="U8" i="2"/>
  <c r="U9" i="2"/>
  <c r="T14" i="2"/>
  <c r="T15" i="2"/>
  <c r="U16" i="2"/>
  <c r="U17" i="2"/>
  <c r="T22" i="2"/>
  <c r="T23" i="2"/>
  <c r="U24" i="2"/>
  <c r="U25" i="2"/>
  <c r="T30" i="2"/>
  <c r="T31" i="2"/>
  <c r="U32" i="2"/>
  <c r="U33" i="2"/>
  <c r="V5" i="1"/>
  <c r="V13" i="1"/>
  <c r="V3" i="1"/>
  <c r="V11" i="1"/>
  <c r="V19" i="1"/>
  <c r="V26" i="1"/>
  <c r="V30" i="1"/>
  <c r="V4" i="1"/>
  <c r="V6" i="1"/>
  <c r="V8" i="1"/>
  <c r="V12" i="1"/>
  <c r="V14" i="1"/>
  <c r="V16" i="1"/>
  <c r="V27" i="1"/>
  <c r="V35" i="1"/>
  <c r="V21" i="1"/>
  <c r="V25" i="1"/>
  <c r="V29" i="1"/>
  <c r="V33" i="1"/>
  <c r="V22" i="1"/>
  <c r="V34" i="1"/>
  <c r="V10" i="1"/>
  <c r="V18" i="1"/>
  <c r="V23" i="1"/>
  <c r="V31" i="1"/>
  <c r="V20" i="1"/>
  <c r="V24" i="1"/>
  <c r="V28" i="1"/>
  <c r="V32" i="1"/>
  <c r="V36" i="1"/>
</calcChain>
</file>

<file path=xl/sharedStrings.xml><?xml version="1.0" encoding="utf-8"?>
<sst xmlns="http://schemas.openxmlformats.org/spreadsheetml/2006/main" count="788" uniqueCount="307">
  <si>
    <t>ONS CODE</t>
  </si>
  <si>
    <t>COUNCIL NAME</t>
  </si>
  <si>
    <t>BOUNDARY CHANGE</t>
  </si>
  <si>
    <t>COUNCIL TYPE</t>
  </si>
  <si>
    <t>REGION</t>
  </si>
  <si>
    <t>Post-previous election composition</t>
  </si>
  <si>
    <t>Control</t>
  </si>
  <si>
    <t>Post-May 2017 Election composition</t>
  </si>
  <si>
    <t>Net seats</t>
  </si>
  <si>
    <t>CON</t>
  </si>
  <si>
    <t>LAB</t>
  </si>
  <si>
    <t>LD</t>
  </si>
  <si>
    <t>UKIP</t>
  </si>
  <si>
    <t>GRN</t>
  </si>
  <si>
    <t>Others</t>
  </si>
  <si>
    <t>Total</t>
  </si>
  <si>
    <t>Losses</t>
  </si>
  <si>
    <t>Gains</t>
  </si>
  <si>
    <t>E10000002</t>
  </si>
  <si>
    <t>Buckinghamshire</t>
  </si>
  <si>
    <t>County Council</t>
  </si>
  <si>
    <t>South East</t>
  </si>
  <si>
    <t>E10000003</t>
  </si>
  <si>
    <t>Cambridgeshire</t>
  </si>
  <si>
    <t>Y</t>
  </si>
  <si>
    <t>East of England</t>
  </si>
  <si>
    <t>E10000006</t>
  </si>
  <si>
    <t>Cumbria</t>
  </si>
  <si>
    <t>North West</t>
  </si>
  <si>
    <t>E10000007</t>
  </si>
  <si>
    <t>Derbyshire</t>
  </si>
  <si>
    <t>East Midlands</t>
  </si>
  <si>
    <t>E10000008</t>
  </si>
  <si>
    <t>Devon</t>
  </si>
  <si>
    <t>South West</t>
  </si>
  <si>
    <t>E10000009</t>
  </si>
  <si>
    <t>Dorset</t>
  </si>
  <si>
    <t>E10000011</t>
  </si>
  <si>
    <t>East Sussex</t>
  </si>
  <si>
    <t>E10000012</t>
  </si>
  <si>
    <t>Essex</t>
  </si>
  <si>
    <t>E10000013</t>
  </si>
  <si>
    <t>Gloucestershire</t>
  </si>
  <si>
    <t>E10000014</t>
  </si>
  <si>
    <t>Hampshire</t>
  </si>
  <si>
    <t>E10000015</t>
  </si>
  <si>
    <t>Hertfordshire</t>
  </si>
  <si>
    <t>E10000016</t>
  </si>
  <si>
    <t>Kent</t>
  </si>
  <si>
    <t>E10000017</t>
  </si>
  <si>
    <t>Lancashire</t>
  </si>
  <si>
    <t>E10000018</t>
  </si>
  <si>
    <t>Leicestershire</t>
  </si>
  <si>
    <t>E10000019</t>
  </si>
  <si>
    <t>Lincolnshire</t>
  </si>
  <si>
    <t>E10000020</t>
  </si>
  <si>
    <t>Norfolk</t>
  </si>
  <si>
    <t>E10000023</t>
  </si>
  <si>
    <t>North Yorkshire</t>
  </si>
  <si>
    <t>Yorkshire and The Humber</t>
  </si>
  <si>
    <t>E10000021</t>
  </si>
  <si>
    <t>Northamptonshire</t>
  </si>
  <si>
    <t>E10000024</t>
  </si>
  <si>
    <t>Nottinghamshire</t>
  </si>
  <si>
    <t>E10000025</t>
  </si>
  <si>
    <t>Oxfordshire</t>
  </si>
  <si>
    <t>E10000027</t>
  </si>
  <si>
    <t>Somerset</t>
  </si>
  <si>
    <t>E10000028</t>
  </si>
  <si>
    <t>Staffordshire</t>
  </si>
  <si>
    <t>West Midlands</t>
  </si>
  <si>
    <t>E10000029</t>
  </si>
  <si>
    <t>Suffolk</t>
  </si>
  <si>
    <t>E10000030</t>
  </si>
  <si>
    <t>Surrey</t>
  </si>
  <si>
    <t>E10000031</t>
  </si>
  <si>
    <t>Warwickshire</t>
  </si>
  <si>
    <t>E10000032</t>
  </si>
  <si>
    <t>West Sussex</t>
  </si>
  <si>
    <t>E10000034</t>
  </si>
  <si>
    <t>Worcestershire</t>
  </si>
  <si>
    <t>E06000052</t>
  </si>
  <si>
    <t>Cornwall</t>
  </si>
  <si>
    <t>Unitary Authority</t>
  </si>
  <si>
    <t>E06000047</t>
  </si>
  <si>
    <t>County Durham</t>
  </si>
  <si>
    <t>North East</t>
  </si>
  <si>
    <t>E06000046</t>
  </si>
  <si>
    <t>Isle of Wight</t>
  </si>
  <si>
    <t>E06000057</t>
  </si>
  <si>
    <t>Northumberland</t>
  </si>
  <si>
    <t>E06000051</t>
  </si>
  <si>
    <t>Shropshire</t>
  </si>
  <si>
    <t>E06000054</t>
  </si>
  <si>
    <t>Wiltshire</t>
  </si>
  <si>
    <t>E08000017</t>
  </si>
  <si>
    <t>Doncaster</t>
  </si>
  <si>
    <t>Metropolitan Borough</t>
  </si>
  <si>
    <t>S12000033</t>
  </si>
  <si>
    <t>Aberdeen City</t>
  </si>
  <si>
    <t>Scotland</t>
  </si>
  <si>
    <t>S12000034</t>
  </si>
  <si>
    <t>Aberdeenshire</t>
  </si>
  <si>
    <t>S12000041</t>
  </si>
  <si>
    <t>Angus</t>
  </si>
  <si>
    <t>SNP</t>
  </si>
  <si>
    <t>S12000035</t>
  </si>
  <si>
    <t>Argyll and Bute</t>
  </si>
  <si>
    <t>S12000005</t>
  </si>
  <si>
    <t>Clackmannanshire</t>
  </si>
  <si>
    <t>S12000013</t>
  </si>
  <si>
    <t>Na h-Eileanan Siar</t>
  </si>
  <si>
    <t>S12000006</t>
  </si>
  <si>
    <t>Dumfries and Galloway</t>
  </si>
  <si>
    <t>S12000042</t>
  </si>
  <si>
    <t>Dundee City</t>
  </si>
  <si>
    <t>S12000008</t>
  </si>
  <si>
    <t>East Ayrshire</t>
  </si>
  <si>
    <t>S12000045</t>
  </si>
  <si>
    <t>East Dunbartonshire</t>
  </si>
  <si>
    <t>S12000010</t>
  </si>
  <si>
    <t>East Lothian</t>
  </si>
  <si>
    <t>S12000011</t>
  </si>
  <si>
    <t>East Renfrewshire</t>
  </si>
  <si>
    <t>S12000036</t>
  </si>
  <si>
    <t>City of Edinburgh</t>
  </si>
  <si>
    <t>S12000014</t>
  </si>
  <si>
    <t>Falkirk</t>
  </si>
  <si>
    <t>S12000015</t>
  </si>
  <si>
    <t>Fife</t>
  </si>
  <si>
    <t>S12000046</t>
  </si>
  <si>
    <t>Glasgow City</t>
  </si>
  <si>
    <t>S12000017</t>
  </si>
  <si>
    <t>Highland</t>
  </si>
  <si>
    <t>S12000018</t>
  </si>
  <si>
    <t>Inverclyde</t>
  </si>
  <si>
    <t>S12000019</t>
  </si>
  <si>
    <t>Midlothian</t>
  </si>
  <si>
    <t>S12000020</t>
  </si>
  <si>
    <t>Moray</t>
  </si>
  <si>
    <t>S12000021</t>
  </si>
  <si>
    <t>North Ayrshire</t>
  </si>
  <si>
    <t>S12000044</t>
  </si>
  <si>
    <t>North Lanarkshire</t>
  </si>
  <si>
    <t>S12000023</t>
  </si>
  <si>
    <t>Orkney Islands</t>
  </si>
  <si>
    <t>S12000024</t>
  </si>
  <si>
    <t>Perth and Kinross</t>
  </si>
  <si>
    <t>S12000038</t>
  </si>
  <si>
    <t>Renfrewshire</t>
  </si>
  <si>
    <t>S12000026</t>
  </si>
  <si>
    <t>Scottish Borders</t>
  </si>
  <si>
    <t>S12000027</t>
  </si>
  <si>
    <t>Shetland Islands</t>
  </si>
  <si>
    <t>S12000028</t>
  </si>
  <si>
    <t>South Ayrshire</t>
  </si>
  <si>
    <t>S12000029</t>
  </si>
  <si>
    <t>South Lanarkshire</t>
  </si>
  <si>
    <t>S12000030</t>
  </si>
  <si>
    <t>Stirling</t>
  </si>
  <si>
    <t>S12000039</t>
  </si>
  <si>
    <t>West Dunbartonshire</t>
  </si>
  <si>
    <t>S12000040</t>
  </si>
  <si>
    <t>West Lothian</t>
  </si>
  <si>
    <t>PC</t>
  </si>
  <si>
    <t>W06000001</t>
  </si>
  <si>
    <t>Isle of Anglesey</t>
  </si>
  <si>
    <t>Wales</t>
  </si>
  <si>
    <t>W06000019</t>
  </si>
  <si>
    <t>Blaenau Gwent</t>
  </si>
  <si>
    <t>W06000013</t>
  </si>
  <si>
    <t>Bridgend</t>
  </si>
  <si>
    <t>W06000018</t>
  </si>
  <si>
    <t>Caerphilly</t>
  </si>
  <si>
    <t>W06000015</t>
  </si>
  <si>
    <t>Cardiff</t>
  </si>
  <si>
    <t>W06000010</t>
  </si>
  <si>
    <t>Carmarthenshire</t>
  </si>
  <si>
    <t>W06000008</t>
  </si>
  <si>
    <t>Ceredigion</t>
  </si>
  <si>
    <t>W06000003</t>
  </si>
  <si>
    <t>Conwy</t>
  </si>
  <si>
    <t>W06000004</t>
  </si>
  <si>
    <t>Denbighshire</t>
  </si>
  <si>
    <t>W06000005</t>
  </si>
  <si>
    <t>Flintshire</t>
  </si>
  <si>
    <t>W06000002</t>
  </si>
  <si>
    <t>Gwynedd</t>
  </si>
  <si>
    <t>W06000024</t>
  </si>
  <si>
    <t>Merthyr Tydfil</t>
  </si>
  <si>
    <t>W06000021</t>
  </si>
  <si>
    <t>Monmouthshire</t>
  </si>
  <si>
    <t>W06000012</t>
  </si>
  <si>
    <t>Neath Port Talbot</t>
  </si>
  <si>
    <t>W06000022</t>
  </si>
  <si>
    <t>Newport</t>
  </si>
  <si>
    <t>W06000009</t>
  </si>
  <si>
    <t>Pembrokeshire</t>
  </si>
  <si>
    <t>W06000023</t>
  </si>
  <si>
    <t>Powys</t>
  </si>
  <si>
    <t>W06000016</t>
  </si>
  <si>
    <t>Rhondda Cynon Taf</t>
  </si>
  <si>
    <t>W06000011</t>
  </si>
  <si>
    <t>Swansea</t>
  </si>
  <si>
    <t>W06000020</t>
  </si>
  <si>
    <t>Torfaen</t>
  </si>
  <si>
    <t>W06000014</t>
  </si>
  <si>
    <t>Vale of Glamorgan</t>
  </si>
  <si>
    <t>W06000006</t>
  </si>
  <si>
    <t>Wrexham</t>
  </si>
  <si>
    <t>AUTH TYPE</t>
  </si>
  <si>
    <t>AUTH CODE</t>
  </si>
  <si>
    <t>AUTH NAME</t>
  </si>
  <si>
    <t>ELECTION TYPE</t>
  </si>
  <si>
    <t>CANDIDATES</t>
  </si>
  <si>
    <t>PARTY</t>
  </si>
  <si>
    <t>FEMALE</t>
  </si>
  <si>
    <t>ELECTORATE</t>
  </si>
  <si>
    <t>1ST PREF VOTE</t>
  </si>
  <si>
    <t>2ND PREF VOTE</t>
  </si>
  <si>
    <t>TOTAL VOTE</t>
  </si>
  <si>
    <t>TURNOUT</t>
  </si>
  <si>
    <t>Metropolitan Borough Council</t>
  </si>
  <si>
    <t>Council Mayor</t>
  </si>
  <si>
    <t>George Jabbour</t>
  </si>
  <si>
    <t>Conservative</t>
  </si>
  <si>
    <t>E08000018</t>
  </si>
  <si>
    <t>Ros Jones</t>
  </si>
  <si>
    <t>Labour</t>
  </si>
  <si>
    <t>E08000019</t>
  </si>
  <si>
    <t>Eddie Todd</t>
  </si>
  <si>
    <t>Independent</t>
  </si>
  <si>
    <t>E08000020</t>
  </si>
  <si>
    <t>Brian Whitmore</t>
  </si>
  <si>
    <t>E08000021</t>
  </si>
  <si>
    <t>Chris Whitwood</t>
  </si>
  <si>
    <t>The Yorkshire Party</t>
  </si>
  <si>
    <t>E08000022</t>
  </si>
  <si>
    <t>Steve Williams</t>
  </si>
  <si>
    <t>Trade Unionist and Socialist Coalition</t>
  </si>
  <si>
    <t>North Tyneside</t>
  </si>
  <si>
    <t>John Appleby</t>
  </si>
  <si>
    <t>Liberal Democrat</t>
  </si>
  <si>
    <t>E08000023</t>
  </si>
  <si>
    <t>Stewart Hay</t>
  </si>
  <si>
    <t>E08000024</t>
  </si>
  <si>
    <t>Stuart Houghton</t>
  </si>
  <si>
    <t>E08000025</t>
  </si>
  <si>
    <t>Norma Redfearn</t>
  </si>
  <si>
    <t>Combined Authority</t>
  </si>
  <si>
    <t>E47000008</t>
  </si>
  <si>
    <t>Cambridgeshire and Peterborough</t>
  </si>
  <si>
    <t>Metropolitan Mayor</t>
  </si>
  <si>
    <t>Paul Bullen</t>
  </si>
  <si>
    <t xml:space="preserve">Rod Cantrill </t>
  </si>
  <si>
    <t>Peter Dawe</t>
  </si>
  <si>
    <t>Stephen Goldspink</t>
  </si>
  <si>
    <t>English Democrats</t>
  </si>
  <si>
    <t>Julie Howell</t>
  </si>
  <si>
    <t>Green Party</t>
  </si>
  <si>
    <t>James Palmer</t>
  </si>
  <si>
    <t>Kevin Price</t>
  </si>
  <si>
    <t>E47000001</t>
  </si>
  <si>
    <t>Greater Manchester</t>
  </si>
  <si>
    <t>Sean Anstee</t>
  </si>
  <si>
    <t>Mohammad Aslam</t>
  </si>
  <si>
    <t>Jane Brophy</t>
  </si>
  <si>
    <t>Andy Burnham</t>
  </si>
  <si>
    <t>Marcus Farmer</t>
  </si>
  <si>
    <t>Stephen Morris</t>
  </si>
  <si>
    <t>Shneur Odze</t>
  </si>
  <si>
    <t>Will Patterson</t>
  </si>
  <si>
    <t>E47000004</t>
  </si>
  <si>
    <t>Liverpool City Region</t>
  </si>
  <si>
    <t>Roger Bannister</t>
  </si>
  <si>
    <t>Trade Unionist &amp; Socialist Coalition</t>
  </si>
  <si>
    <t>Paul Breen</t>
  </si>
  <si>
    <t>Get the Coppers off the Jury</t>
  </si>
  <si>
    <t>Tony Caldeira</t>
  </si>
  <si>
    <t>Carl Cashman</t>
  </si>
  <si>
    <t>Tom Crone</t>
  </si>
  <si>
    <t>Tabitha Morton</t>
  </si>
  <si>
    <t>Women's Equality Party</t>
  </si>
  <si>
    <t>Steve Rotheram</t>
  </si>
  <si>
    <t>Paula Walters</t>
  </si>
  <si>
    <t>E47000006</t>
  </si>
  <si>
    <t>Tees Valley</t>
  </si>
  <si>
    <t>Chris Foote Wood</t>
  </si>
  <si>
    <t>Ben Houchen</t>
  </si>
  <si>
    <t>Sue Jeffrey</t>
  </si>
  <si>
    <t>John Tennant</t>
  </si>
  <si>
    <t>E47000007</t>
  </si>
  <si>
    <t>James Burn</t>
  </si>
  <si>
    <t>Pete Durnell</t>
  </si>
  <si>
    <t>Beverley Nielsen</t>
  </si>
  <si>
    <t>Sion Simon</t>
  </si>
  <si>
    <t>Graham Stevenson</t>
  </si>
  <si>
    <t>Communist</t>
  </si>
  <si>
    <t>Andy Street</t>
  </si>
  <si>
    <t>E47000009</t>
  </si>
  <si>
    <t>West of England</t>
  </si>
  <si>
    <t>Tim Bowles</t>
  </si>
  <si>
    <t>Aaron Foot</t>
  </si>
  <si>
    <t>Darren Hall</t>
  </si>
  <si>
    <t>Lesley Mansell</t>
  </si>
  <si>
    <t>John Savage</t>
  </si>
  <si>
    <t>Stephen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</si>
</sst>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+0;\-0;0"/>
    <numFmt numFmtId="165" formatCode="0.0%"/>
  </numFmts>
  <fonts count="4" x14ac:knownFonts="1">
    <font>
      <sz val="8"/>
      <color theme="1"/>
      <name val="Calibri"/>
      <family val="2"/>
    </font>
    <font>
      <sz val="8"/>
      <name val="Calibri"/>
      <family val="2"/>
      <scheme val="minor"/>
    </font>
    <font>
      <sz val="8"/>
      <name val="Calibri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Fill="1" applyAlignment="1">
      <alignment horizontal="right"/>
    </xf>
    <xf numFmtId="164" fontId="0" fillId="0" borderId="0" xfId="0" applyNumberFormat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left"/>
    </xf>
    <xf numFmtId="165" fontId="3" fillId="0" borderId="0" xfId="0" applyNumberFormat="1" applyFont="1" applyFill="1"/>
    <xf numFmtId="0" fontId="3" fillId="0" borderId="0" xfId="0" applyFont="1"/>
    <xf numFmtId="3" fontId="3" fillId="0" borderId="0" xfId="0" applyNumberFormat="1" applyFont="1" applyFill="1"/>
    <xf numFmtId="0" fontId="1" fillId="0" borderId="0" xfId="0" applyFont="1" applyFill="1"/>
    <xf numFmtId="3" fontId="1" fillId="0" borderId="0" xfId="0" applyNumberFormat="1" applyFont="1" applyFill="1"/>
    <xf numFmtId="0" fontId="3" fillId="0" borderId="0" xfId="0" applyFont="1" applyAlignment="1">
      <alignment horizontal="left"/>
    </xf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workbookViewId="0">
      <selection activeCell="A37" sqref="A37:Z68"/>
    </sheetView>
  </sheetViews>
  <sheetFormatPr defaultRowHeight="11.25" x14ac:dyDescent="0.2"/>
  <cols>
    <col min="1" max="1" width="10.83203125" customWidth="1"/>
    <col min="2" max="3" width="17.83203125" customWidth="1"/>
    <col min="4" max="4" width="18.83203125" bestFit="1" customWidth="1"/>
    <col min="5" max="5" width="22.1640625" bestFit="1" customWidth="1"/>
    <col min="22" max="22" width="13.83203125" bestFit="1" customWidth="1"/>
    <col min="23" max="23" width="16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0" t="s">
        <v>5</v>
      </c>
      <c r="G1" s="10"/>
      <c r="H1" s="10"/>
      <c r="I1" s="10"/>
      <c r="J1" s="10"/>
      <c r="K1" s="10"/>
      <c r="L1" s="11"/>
      <c r="M1" s="1" t="s">
        <v>6</v>
      </c>
      <c r="N1" s="10" t="s">
        <v>7</v>
      </c>
      <c r="O1" s="10"/>
      <c r="P1" s="10"/>
      <c r="Q1" s="10"/>
      <c r="R1" s="10"/>
      <c r="S1" s="10"/>
      <c r="T1" s="11"/>
      <c r="U1" s="1" t="s">
        <v>6</v>
      </c>
      <c r="V1" s="10" t="s">
        <v>6</v>
      </c>
      <c r="W1" s="10"/>
      <c r="X1" s="12" t="s">
        <v>8</v>
      </c>
      <c r="Y1" s="12"/>
      <c r="Z1" s="12"/>
      <c r="AA1" s="12"/>
      <c r="AB1" s="12"/>
      <c r="AC1" s="12"/>
    </row>
    <row r="2" spans="1:29" x14ac:dyDescent="0.2"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s="1"/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s="1"/>
      <c r="V2" s="1" t="s">
        <v>16</v>
      </c>
      <c r="W2" s="1" t="s">
        <v>17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14</v>
      </c>
    </row>
    <row r="3" spans="1:29" x14ac:dyDescent="0.2">
      <c r="A3" t="s">
        <v>18</v>
      </c>
      <c r="B3" t="s">
        <v>19</v>
      </c>
      <c r="D3" t="s">
        <v>20</v>
      </c>
      <c r="E3" t="s">
        <v>21</v>
      </c>
      <c r="F3">
        <v>36</v>
      </c>
      <c r="G3">
        <v>1</v>
      </c>
      <c r="H3">
        <v>5</v>
      </c>
      <c r="I3">
        <v>6</v>
      </c>
      <c r="J3">
        <v>0</v>
      </c>
      <c r="K3">
        <v>1</v>
      </c>
      <c r="L3">
        <f>SUM(F3:K3)</f>
        <v>49</v>
      </c>
      <c r="M3" s="1" t="str">
        <f>IF(MAX(F3:K3)&gt;L3/2, INDEX($F$2:$K$2,MATCH(MAX(F3:K3),F3:K3,0)), "NOC")</f>
        <v>CON</v>
      </c>
      <c r="N3">
        <v>41</v>
      </c>
      <c r="O3">
        <v>1</v>
      </c>
      <c r="P3">
        <v>4</v>
      </c>
      <c r="Q3">
        <v>0</v>
      </c>
      <c r="R3">
        <v>0</v>
      </c>
      <c r="S3">
        <v>3</v>
      </c>
      <c r="T3">
        <f>SUM(N3:S3)</f>
        <v>49</v>
      </c>
      <c r="U3" s="1" t="str">
        <f>IF(MAX(N3:S3)&gt;T3/2, INDEX($N$2:$S$2,MATCH(MAX(N3:S3),N3:S3,0)), "NOC")</f>
        <v>CON</v>
      </c>
      <c r="V3" s="2" t="str">
        <f>IF(M3=U3,"No change",M3&amp;" loss to "&amp;U3)</f>
        <v>No change</v>
      </c>
      <c r="W3" t="str">
        <f>IF(U3=M3,"No change",U3&amp;" gain from "&amp;M3)</f>
        <v>No change</v>
      </c>
      <c r="X3" s="3">
        <f>N3-F3</f>
        <v>5</v>
      </c>
      <c r="Y3" s="3">
        <f t="shared" ref="Y3:AC18" si="0">O3-G3</f>
        <v>0</v>
      </c>
      <c r="Z3" s="3">
        <f t="shared" si="0"/>
        <v>-1</v>
      </c>
      <c r="AA3" s="3">
        <f t="shared" si="0"/>
        <v>-6</v>
      </c>
      <c r="AB3" s="3">
        <f t="shared" si="0"/>
        <v>0</v>
      </c>
      <c r="AC3" s="3">
        <f t="shared" si="0"/>
        <v>2</v>
      </c>
    </row>
    <row r="4" spans="1:29" x14ac:dyDescent="0.2">
      <c r="A4" t="s">
        <v>22</v>
      </c>
      <c r="B4" t="s">
        <v>23</v>
      </c>
      <c r="C4" t="s">
        <v>24</v>
      </c>
      <c r="D4" t="s">
        <v>20</v>
      </c>
      <c r="E4" t="s">
        <v>25</v>
      </c>
      <c r="F4">
        <v>32</v>
      </c>
      <c r="G4">
        <v>7</v>
      </c>
      <c r="H4">
        <v>14</v>
      </c>
      <c r="I4">
        <v>12</v>
      </c>
      <c r="J4">
        <v>0</v>
      </c>
      <c r="K4">
        <v>4</v>
      </c>
      <c r="L4">
        <f t="shared" ref="L4:L36" si="1">SUM(F4:K4)</f>
        <v>69</v>
      </c>
      <c r="M4" s="1" t="str">
        <f t="shared" ref="M4:M36" si="2">IF(MAX(F4:K4)&gt;L4/2, INDEX($F$2:$K$2,MATCH(MAX(F4:K4),F4:K4,0)), "NOC")</f>
        <v>NOC</v>
      </c>
      <c r="N4">
        <v>36</v>
      </c>
      <c r="O4">
        <v>7</v>
      </c>
      <c r="P4">
        <v>15</v>
      </c>
      <c r="Q4">
        <v>0</v>
      </c>
      <c r="R4">
        <v>0</v>
      </c>
      <c r="S4">
        <v>3</v>
      </c>
      <c r="T4">
        <f t="shared" ref="T4:T36" si="3">SUM(N4:S4)</f>
        <v>61</v>
      </c>
      <c r="U4" s="1" t="str">
        <f t="shared" ref="U4:U36" si="4">IF(MAX(N4:S4)&gt;T4/2, INDEX($N$2:$S$2,MATCH(MAX(N4:S4),N4:S4,0)), "NOC")</f>
        <v>CON</v>
      </c>
      <c r="V4" s="2" t="str">
        <f t="shared" ref="V4:V36" si="5">IF(M4=U4,"No change",M4&amp;" loss to "&amp;U4)</f>
        <v>NOC loss to CON</v>
      </c>
      <c r="W4" t="str">
        <f t="shared" ref="W4:W36" si="6">IF(U4=M4,"No change",U4&amp;" gain from "&amp;M4)</f>
        <v>CON gain from NOC</v>
      </c>
      <c r="X4" s="3">
        <f t="shared" ref="X4:AC36" si="7">N4-F4</f>
        <v>4</v>
      </c>
      <c r="Y4" s="3">
        <f t="shared" si="0"/>
        <v>0</v>
      </c>
      <c r="Z4" s="3">
        <f t="shared" si="0"/>
        <v>1</v>
      </c>
      <c r="AA4" s="3">
        <f t="shared" si="0"/>
        <v>-12</v>
      </c>
      <c r="AB4" s="3">
        <f t="shared" si="0"/>
        <v>0</v>
      </c>
      <c r="AC4" s="3">
        <f t="shared" si="0"/>
        <v>-1</v>
      </c>
    </row>
    <row r="5" spans="1:29" x14ac:dyDescent="0.2">
      <c r="A5" t="s">
        <v>26</v>
      </c>
      <c r="B5" t="s">
        <v>27</v>
      </c>
      <c r="D5" t="s">
        <v>20</v>
      </c>
      <c r="E5" t="s">
        <v>28</v>
      </c>
      <c r="F5">
        <v>26</v>
      </c>
      <c r="G5">
        <v>35</v>
      </c>
      <c r="H5">
        <v>16</v>
      </c>
      <c r="I5">
        <v>0</v>
      </c>
      <c r="J5">
        <v>0</v>
      </c>
      <c r="K5">
        <v>7</v>
      </c>
      <c r="L5">
        <f t="shared" si="1"/>
        <v>84</v>
      </c>
      <c r="M5" s="1" t="str">
        <f t="shared" si="2"/>
        <v>NOC</v>
      </c>
      <c r="N5">
        <v>37</v>
      </c>
      <c r="O5">
        <v>26</v>
      </c>
      <c r="P5">
        <v>16</v>
      </c>
      <c r="Q5">
        <v>0</v>
      </c>
      <c r="R5">
        <v>0</v>
      </c>
      <c r="S5">
        <v>5</v>
      </c>
      <c r="T5">
        <f t="shared" si="3"/>
        <v>84</v>
      </c>
      <c r="U5" s="1" t="str">
        <f t="shared" si="4"/>
        <v>NOC</v>
      </c>
      <c r="V5" s="2" t="str">
        <f t="shared" si="5"/>
        <v>No change</v>
      </c>
      <c r="W5" t="str">
        <f t="shared" si="6"/>
        <v>No change</v>
      </c>
      <c r="X5" s="3">
        <f t="shared" si="7"/>
        <v>11</v>
      </c>
      <c r="Y5" s="3">
        <f t="shared" si="0"/>
        <v>-9</v>
      </c>
      <c r="Z5" s="3">
        <f t="shared" si="0"/>
        <v>0</v>
      </c>
      <c r="AA5" s="3">
        <f t="shared" si="0"/>
        <v>0</v>
      </c>
      <c r="AB5" s="3">
        <f t="shared" si="0"/>
        <v>0</v>
      </c>
      <c r="AC5" s="3">
        <f t="shared" si="0"/>
        <v>-2</v>
      </c>
    </row>
    <row r="6" spans="1:29" x14ac:dyDescent="0.2">
      <c r="A6" t="s">
        <v>29</v>
      </c>
      <c r="B6" t="s">
        <v>30</v>
      </c>
      <c r="D6" t="s">
        <v>20</v>
      </c>
      <c r="E6" t="s">
        <v>31</v>
      </c>
      <c r="F6">
        <v>18</v>
      </c>
      <c r="G6">
        <v>43</v>
      </c>
      <c r="H6">
        <v>3</v>
      </c>
      <c r="I6">
        <v>0</v>
      </c>
      <c r="J6">
        <v>0</v>
      </c>
      <c r="K6">
        <v>0</v>
      </c>
      <c r="L6">
        <f t="shared" si="1"/>
        <v>64</v>
      </c>
      <c r="M6" s="1" t="str">
        <f t="shared" si="2"/>
        <v>LAB</v>
      </c>
      <c r="N6">
        <v>37</v>
      </c>
      <c r="O6">
        <v>24</v>
      </c>
      <c r="P6">
        <v>3</v>
      </c>
      <c r="Q6">
        <v>0</v>
      </c>
      <c r="R6">
        <v>0</v>
      </c>
      <c r="S6">
        <v>0</v>
      </c>
      <c r="T6">
        <f t="shared" si="3"/>
        <v>64</v>
      </c>
      <c r="U6" s="1" t="str">
        <f t="shared" si="4"/>
        <v>CON</v>
      </c>
      <c r="V6" s="2" t="str">
        <f t="shared" si="5"/>
        <v>LAB loss to CON</v>
      </c>
      <c r="W6" t="str">
        <f t="shared" si="6"/>
        <v>CON gain from LAB</v>
      </c>
      <c r="X6" s="3">
        <f t="shared" si="7"/>
        <v>19</v>
      </c>
      <c r="Y6" s="3">
        <f t="shared" si="0"/>
        <v>-19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</row>
    <row r="7" spans="1:29" x14ac:dyDescent="0.2">
      <c r="A7" t="s">
        <v>32</v>
      </c>
      <c r="B7" t="s">
        <v>33</v>
      </c>
      <c r="C7" t="s">
        <v>24</v>
      </c>
      <c r="D7" t="s">
        <v>20</v>
      </c>
      <c r="E7" t="s">
        <v>34</v>
      </c>
      <c r="F7">
        <v>38</v>
      </c>
      <c r="G7">
        <v>7</v>
      </c>
      <c r="H7">
        <v>9</v>
      </c>
      <c r="I7">
        <v>4</v>
      </c>
      <c r="J7">
        <v>1</v>
      </c>
      <c r="K7">
        <v>3</v>
      </c>
      <c r="L7">
        <f t="shared" si="1"/>
        <v>62</v>
      </c>
      <c r="M7" s="1" t="str">
        <f t="shared" si="2"/>
        <v>CON</v>
      </c>
      <c r="N7">
        <v>42</v>
      </c>
      <c r="O7">
        <v>7</v>
      </c>
      <c r="P7">
        <v>7</v>
      </c>
      <c r="Q7">
        <v>0</v>
      </c>
      <c r="R7">
        <v>1</v>
      </c>
      <c r="S7">
        <v>3</v>
      </c>
      <c r="T7">
        <f t="shared" si="3"/>
        <v>60</v>
      </c>
      <c r="U7" s="1" t="str">
        <f t="shared" si="4"/>
        <v>CON</v>
      </c>
      <c r="V7" s="2" t="str">
        <f t="shared" si="5"/>
        <v>No change</v>
      </c>
      <c r="W7" t="str">
        <f t="shared" si="6"/>
        <v>No change</v>
      </c>
      <c r="X7" s="3">
        <f t="shared" si="7"/>
        <v>4</v>
      </c>
      <c r="Y7" s="3">
        <f t="shared" si="0"/>
        <v>0</v>
      </c>
      <c r="Z7" s="3">
        <f t="shared" si="0"/>
        <v>-2</v>
      </c>
      <c r="AA7" s="3">
        <f t="shared" si="0"/>
        <v>-4</v>
      </c>
      <c r="AB7" s="3">
        <f t="shared" si="0"/>
        <v>0</v>
      </c>
      <c r="AC7" s="3">
        <f t="shared" si="0"/>
        <v>0</v>
      </c>
    </row>
    <row r="8" spans="1:29" x14ac:dyDescent="0.2">
      <c r="A8" t="s">
        <v>35</v>
      </c>
      <c r="B8" t="s">
        <v>36</v>
      </c>
      <c r="C8" t="s">
        <v>24</v>
      </c>
      <c r="D8" t="s">
        <v>20</v>
      </c>
      <c r="E8" t="s">
        <v>34</v>
      </c>
      <c r="F8">
        <v>27</v>
      </c>
      <c r="G8">
        <v>5</v>
      </c>
      <c r="H8">
        <v>12</v>
      </c>
      <c r="I8">
        <v>1</v>
      </c>
      <c r="J8">
        <v>0</v>
      </c>
      <c r="K8">
        <v>0</v>
      </c>
      <c r="L8">
        <f t="shared" si="1"/>
        <v>45</v>
      </c>
      <c r="M8" s="1" t="str">
        <f t="shared" si="2"/>
        <v>CON</v>
      </c>
      <c r="N8">
        <v>32</v>
      </c>
      <c r="O8">
        <v>1</v>
      </c>
      <c r="P8">
        <v>11</v>
      </c>
      <c r="Q8">
        <v>0</v>
      </c>
      <c r="R8">
        <v>2</v>
      </c>
      <c r="S8">
        <v>0</v>
      </c>
      <c r="T8">
        <f t="shared" si="3"/>
        <v>46</v>
      </c>
      <c r="U8" s="1" t="str">
        <f t="shared" si="4"/>
        <v>CON</v>
      </c>
      <c r="V8" s="2" t="str">
        <f t="shared" si="5"/>
        <v>No change</v>
      </c>
      <c r="W8" t="str">
        <f t="shared" si="6"/>
        <v>No change</v>
      </c>
      <c r="X8" s="3">
        <f t="shared" si="7"/>
        <v>5</v>
      </c>
      <c r="Y8" s="3">
        <f t="shared" si="0"/>
        <v>-4</v>
      </c>
      <c r="Z8" s="3">
        <f t="shared" si="0"/>
        <v>-1</v>
      </c>
      <c r="AA8" s="3">
        <f t="shared" si="0"/>
        <v>-1</v>
      </c>
      <c r="AB8" s="3">
        <f t="shared" si="0"/>
        <v>2</v>
      </c>
      <c r="AC8" s="3">
        <f t="shared" si="0"/>
        <v>0</v>
      </c>
    </row>
    <row r="9" spans="1:29" x14ac:dyDescent="0.2">
      <c r="A9" s="4" t="s">
        <v>37</v>
      </c>
      <c r="B9" s="4" t="s">
        <v>38</v>
      </c>
      <c r="C9" s="4"/>
      <c r="D9" s="4" t="s">
        <v>20</v>
      </c>
      <c r="E9" s="4" t="s">
        <v>21</v>
      </c>
      <c r="F9" s="4">
        <v>20</v>
      </c>
      <c r="G9" s="4">
        <v>7</v>
      </c>
      <c r="H9" s="4">
        <v>10</v>
      </c>
      <c r="I9" s="4">
        <v>7</v>
      </c>
      <c r="J9" s="4">
        <v>0</v>
      </c>
      <c r="K9" s="4">
        <v>5</v>
      </c>
      <c r="L9" s="4">
        <f t="shared" si="1"/>
        <v>49</v>
      </c>
      <c r="M9" s="5" t="str">
        <f t="shared" si="2"/>
        <v>NOC</v>
      </c>
      <c r="N9" s="4">
        <v>30</v>
      </c>
      <c r="O9" s="4">
        <v>4</v>
      </c>
      <c r="P9" s="4">
        <v>11</v>
      </c>
      <c r="Q9" s="4">
        <v>0</v>
      </c>
      <c r="R9" s="4">
        <v>0</v>
      </c>
      <c r="S9" s="4">
        <v>5</v>
      </c>
      <c r="T9" s="4">
        <f t="shared" si="3"/>
        <v>50</v>
      </c>
      <c r="U9" s="5" t="str">
        <f t="shared" si="4"/>
        <v>CON</v>
      </c>
      <c r="V9" s="2" t="str">
        <f t="shared" si="5"/>
        <v>NOC loss to CON</v>
      </c>
      <c r="W9" s="4" t="str">
        <f t="shared" si="6"/>
        <v>CON gain from NOC</v>
      </c>
      <c r="X9" s="3">
        <f t="shared" si="7"/>
        <v>10</v>
      </c>
      <c r="Y9" s="3">
        <f t="shared" si="0"/>
        <v>-3</v>
      </c>
      <c r="Z9" s="3">
        <f t="shared" si="0"/>
        <v>1</v>
      </c>
      <c r="AA9" s="3">
        <f t="shared" si="0"/>
        <v>-7</v>
      </c>
      <c r="AB9" s="3">
        <f t="shared" si="0"/>
        <v>0</v>
      </c>
      <c r="AC9" s="3">
        <f t="shared" si="0"/>
        <v>0</v>
      </c>
    </row>
    <row r="10" spans="1:29" x14ac:dyDescent="0.2">
      <c r="A10" t="s">
        <v>39</v>
      </c>
      <c r="B10" t="s">
        <v>40</v>
      </c>
      <c r="D10" t="s">
        <v>20</v>
      </c>
      <c r="E10" t="s">
        <v>25</v>
      </c>
      <c r="F10">
        <v>42</v>
      </c>
      <c r="G10">
        <v>9</v>
      </c>
      <c r="H10">
        <v>9</v>
      </c>
      <c r="I10">
        <v>9</v>
      </c>
      <c r="J10">
        <v>2</v>
      </c>
      <c r="K10">
        <v>4</v>
      </c>
      <c r="L10">
        <f t="shared" si="1"/>
        <v>75</v>
      </c>
      <c r="M10" s="1" t="str">
        <f t="shared" si="2"/>
        <v>CON</v>
      </c>
      <c r="N10">
        <v>56</v>
      </c>
      <c r="O10">
        <v>6</v>
      </c>
      <c r="P10">
        <v>7</v>
      </c>
      <c r="Q10">
        <v>0</v>
      </c>
      <c r="R10">
        <v>1</v>
      </c>
      <c r="S10">
        <v>5</v>
      </c>
      <c r="T10">
        <f t="shared" si="3"/>
        <v>75</v>
      </c>
      <c r="U10" s="1" t="str">
        <f t="shared" si="4"/>
        <v>CON</v>
      </c>
      <c r="V10" s="2" t="str">
        <f t="shared" si="5"/>
        <v>No change</v>
      </c>
      <c r="W10" t="str">
        <f t="shared" si="6"/>
        <v>No change</v>
      </c>
      <c r="X10" s="3">
        <f t="shared" si="7"/>
        <v>14</v>
      </c>
      <c r="Y10" s="3">
        <f t="shared" si="0"/>
        <v>-3</v>
      </c>
      <c r="Z10" s="3">
        <f t="shared" si="0"/>
        <v>-2</v>
      </c>
      <c r="AA10" s="3">
        <f t="shared" si="0"/>
        <v>-9</v>
      </c>
      <c r="AB10" s="3">
        <f t="shared" si="0"/>
        <v>-1</v>
      </c>
      <c r="AC10" s="3">
        <f t="shared" si="0"/>
        <v>1</v>
      </c>
    </row>
    <row r="11" spans="1:29" x14ac:dyDescent="0.2">
      <c r="A11" t="s">
        <v>41</v>
      </c>
      <c r="B11" t="s">
        <v>42</v>
      </c>
      <c r="C11" t="s">
        <v>24</v>
      </c>
      <c r="D11" t="s">
        <v>20</v>
      </c>
      <c r="E11" t="s">
        <v>34</v>
      </c>
      <c r="F11">
        <v>23</v>
      </c>
      <c r="G11">
        <v>9</v>
      </c>
      <c r="H11">
        <v>14</v>
      </c>
      <c r="I11">
        <v>3</v>
      </c>
      <c r="J11">
        <v>1</v>
      </c>
      <c r="K11">
        <v>3</v>
      </c>
      <c r="L11">
        <f t="shared" si="1"/>
        <v>53</v>
      </c>
      <c r="M11" s="1" t="str">
        <f t="shared" si="2"/>
        <v>NOC</v>
      </c>
      <c r="N11">
        <v>31</v>
      </c>
      <c r="O11">
        <v>5</v>
      </c>
      <c r="P11">
        <v>14</v>
      </c>
      <c r="Q11">
        <v>0</v>
      </c>
      <c r="R11">
        <v>2</v>
      </c>
      <c r="S11">
        <v>1</v>
      </c>
      <c r="T11">
        <f t="shared" si="3"/>
        <v>53</v>
      </c>
      <c r="U11" s="1" t="str">
        <f t="shared" si="4"/>
        <v>CON</v>
      </c>
      <c r="V11" s="2" t="str">
        <f t="shared" si="5"/>
        <v>NOC loss to CON</v>
      </c>
      <c r="W11" t="str">
        <f t="shared" si="6"/>
        <v>CON gain from NOC</v>
      </c>
      <c r="X11" s="3">
        <f t="shared" si="7"/>
        <v>8</v>
      </c>
      <c r="Y11" s="3">
        <f t="shared" si="0"/>
        <v>-4</v>
      </c>
      <c r="Z11" s="3">
        <f t="shared" si="0"/>
        <v>0</v>
      </c>
      <c r="AA11" s="3">
        <f t="shared" si="0"/>
        <v>-3</v>
      </c>
      <c r="AB11" s="3">
        <f t="shared" si="0"/>
        <v>1</v>
      </c>
      <c r="AC11" s="3">
        <f t="shared" si="0"/>
        <v>-2</v>
      </c>
    </row>
    <row r="12" spans="1:29" x14ac:dyDescent="0.2">
      <c r="A12" t="s">
        <v>43</v>
      </c>
      <c r="B12" t="s">
        <v>44</v>
      </c>
      <c r="C12" t="s">
        <v>24</v>
      </c>
      <c r="D12" t="s">
        <v>20</v>
      </c>
      <c r="E12" t="s">
        <v>21</v>
      </c>
      <c r="F12">
        <v>45</v>
      </c>
      <c r="G12">
        <v>4</v>
      </c>
      <c r="H12">
        <v>17</v>
      </c>
      <c r="I12">
        <v>10</v>
      </c>
      <c r="J12">
        <v>0</v>
      </c>
      <c r="K12">
        <v>2</v>
      </c>
      <c r="L12">
        <f t="shared" si="1"/>
        <v>78</v>
      </c>
      <c r="M12" s="1" t="str">
        <f t="shared" si="2"/>
        <v>CON</v>
      </c>
      <c r="N12">
        <v>56</v>
      </c>
      <c r="O12">
        <v>2</v>
      </c>
      <c r="P12">
        <v>19</v>
      </c>
      <c r="Q12">
        <v>0</v>
      </c>
      <c r="R12">
        <v>0</v>
      </c>
      <c r="S12">
        <v>1</v>
      </c>
      <c r="T12">
        <f t="shared" si="3"/>
        <v>78</v>
      </c>
      <c r="U12" s="1" t="str">
        <f t="shared" si="4"/>
        <v>CON</v>
      </c>
      <c r="V12" s="2" t="str">
        <f t="shared" si="5"/>
        <v>No change</v>
      </c>
      <c r="W12" t="str">
        <f t="shared" si="6"/>
        <v>No change</v>
      </c>
      <c r="X12" s="3">
        <f t="shared" si="7"/>
        <v>11</v>
      </c>
      <c r="Y12" s="3">
        <f t="shared" si="0"/>
        <v>-2</v>
      </c>
      <c r="Z12" s="3">
        <f t="shared" si="0"/>
        <v>2</v>
      </c>
      <c r="AA12" s="3">
        <f t="shared" si="0"/>
        <v>-10</v>
      </c>
      <c r="AB12" s="3">
        <f t="shared" si="0"/>
        <v>0</v>
      </c>
      <c r="AC12" s="3">
        <f t="shared" si="0"/>
        <v>-1</v>
      </c>
    </row>
    <row r="13" spans="1:29" x14ac:dyDescent="0.2">
      <c r="A13" t="s">
        <v>45</v>
      </c>
      <c r="B13" t="s">
        <v>46</v>
      </c>
      <c r="C13" t="s">
        <v>24</v>
      </c>
      <c r="D13" t="s">
        <v>20</v>
      </c>
      <c r="E13" t="s">
        <v>25</v>
      </c>
      <c r="F13">
        <v>46</v>
      </c>
      <c r="G13">
        <v>15</v>
      </c>
      <c r="H13">
        <v>16</v>
      </c>
      <c r="I13">
        <v>0</v>
      </c>
      <c r="J13">
        <v>0</v>
      </c>
      <c r="K13">
        <v>0</v>
      </c>
      <c r="L13">
        <f t="shared" si="1"/>
        <v>77</v>
      </c>
      <c r="M13" s="1" t="str">
        <f t="shared" si="2"/>
        <v>CON</v>
      </c>
      <c r="N13">
        <v>51</v>
      </c>
      <c r="O13">
        <v>9</v>
      </c>
      <c r="P13">
        <v>18</v>
      </c>
      <c r="Q13">
        <v>0</v>
      </c>
      <c r="R13">
        <v>0</v>
      </c>
      <c r="S13">
        <v>0</v>
      </c>
      <c r="T13">
        <f t="shared" si="3"/>
        <v>78</v>
      </c>
      <c r="U13" s="1" t="str">
        <f t="shared" si="4"/>
        <v>CON</v>
      </c>
      <c r="V13" s="2" t="str">
        <f t="shared" si="5"/>
        <v>No change</v>
      </c>
      <c r="W13" t="str">
        <f t="shared" si="6"/>
        <v>No change</v>
      </c>
      <c r="X13" s="3">
        <f t="shared" si="7"/>
        <v>5</v>
      </c>
      <c r="Y13" s="3">
        <f t="shared" si="0"/>
        <v>-6</v>
      </c>
      <c r="Z13" s="3">
        <f t="shared" si="0"/>
        <v>2</v>
      </c>
      <c r="AA13" s="3">
        <f t="shared" si="0"/>
        <v>0</v>
      </c>
      <c r="AB13" s="3">
        <f t="shared" si="0"/>
        <v>0</v>
      </c>
      <c r="AC13" s="3">
        <f t="shared" si="0"/>
        <v>0</v>
      </c>
    </row>
    <row r="14" spans="1:29" x14ac:dyDescent="0.2">
      <c r="A14" t="s">
        <v>47</v>
      </c>
      <c r="B14" t="s">
        <v>48</v>
      </c>
      <c r="C14" t="s">
        <v>24</v>
      </c>
      <c r="D14" t="s">
        <v>20</v>
      </c>
      <c r="E14" t="s">
        <v>21</v>
      </c>
      <c r="F14">
        <v>45</v>
      </c>
      <c r="G14">
        <v>13</v>
      </c>
      <c r="H14">
        <v>7</v>
      </c>
      <c r="I14">
        <v>17</v>
      </c>
      <c r="J14">
        <v>1</v>
      </c>
      <c r="K14">
        <v>1</v>
      </c>
      <c r="L14">
        <f t="shared" si="1"/>
        <v>84</v>
      </c>
      <c r="M14" s="1" t="str">
        <f t="shared" si="2"/>
        <v>CON</v>
      </c>
      <c r="N14">
        <v>67</v>
      </c>
      <c r="O14">
        <v>5</v>
      </c>
      <c r="P14">
        <v>7</v>
      </c>
      <c r="Q14">
        <v>0</v>
      </c>
      <c r="R14">
        <v>1</v>
      </c>
      <c r="S14">
        <v>1</v>
      </c>
      <c r="T14">
        <f t="shared" si="3"/>
        <v>81</v>
      </c>
      <c r="U14" s="1" t="str">
        <f t="shared" si="4"/>
        <v>CON</v>
      </c>
      <c r="V14" s="2" t="str">
        <f t="shared" si="5"/>
        <v>No change</v>
      </c>
      <c r="W14" t="str">
        <f t="shared" si="6"/>
        <v>No change</v>
      </c>
      <c r="X14" s="3">
        <f t="shared" si="7"/>
        <v>22</v>
      </c>
      <c r="Y14" s="3">
        <f t="shared" si="0"/>
        <v>-8</v>
      </c>
      <c r="Z14" s="3">
        <f t="shared" si="0"/>
        <v>0</v>
      </c>
      <c r="AA14" s="3">
        <f t="shared" si="0"/>
        <v>-17</v>
      </c>
      <c r="AB14" s="3">
        <f t="shared" si="0"/>
        <v>0</v>
      </c>
      <c r="AC14" s="3">
        <f t="shared" si="0"/>
        <v>0</v>
      </c>
    </row>
    <row r="15" spans="1:29" x14ac:dyDescent="0.2">
      <c r="A15" s="6" t="s">
        <v>49</v>
      </c>
      <c r="B15" s="6" t="s">
        <v>50</v>
      </c>
      <c r="C15" s="6" t="s">
        <v>24</v>
      </c>
      <c r="D15" s="6" t="s">
        <v>20</v>
      </c>
      <c r="E15" s="6" t="s">
        <v>28</v>
      </c>
      <c r="F15" s="6">
        <v>35</v>
      </c>
      <c r="G15" s="6">
        <v>39</v>
      </c>
      <c r="H15" s="6">
        <v>6</v>
      </c>
      <c r="I15" s="6">
        <v>0</v>
      </c>
      <c r="J15" s="6">
        <v>1</v>
      </c>
      <c r="K15" s="6">
        <v>3</v>
      </c>
      <c r="L15" s="6">
        <f t="shared" si="1"/>
        <v>84</v>
      </c>
      <c r="M15" s="7" t="str">
        <f t="shared" si="2"/>
        <v>NOC</v>
      </c>
      <c r="N15" s="6">
        <v>46</v>
      </c>
      <c r="O15" s="6">
        <v>30</v>
      </c>
      <c r="P15" s="6">
        <v>4</v>
      </c>
      <c r="Q15" s="6">
        <v>1</v>
      </c>
      <c r="R15" s="6">
        <v>1</v>
      </c>
      <c r="S15" s="6">
        <v>2</v>
      </c>
      <c r="T15" s="6">
        <f t="shared" si="3"/>
        <v>84</v>
      </c>
      <c r="U15" s="7" t="str">
        <f t="shared" si="4"/>
        <v>CON</v>
      </c>
      <c r="V15" s="2" t="str">
        <f t="shared" si="5"/>
        <v>NOC loss to CON</v>
      </c>
      <c r="W15" s="6" t="str">
        <f t="shared" si="6"/>
        <v>CON gain from NOC</v>
      </c>
      <c r="X15" s="3">
        <f t="shared" si="7"/>
        <v>11</v>
      </c>
      <c r="Y15" s="3">
        <f t="shared" si="0"/>
        <v>-9</v>
      </c>
      <c r="Z15" s="3">
        <f t="shared" si="0"/>
        <v>-2</v>
      </c>
      <c r="AA15" s="3">
        <f t="shared" si="0"/>
        <v>1</v>
      </c>
      <c r="AB15" s="3">
        <f t="shared" si="0"/>
        <v>0</v>
      </c>
      <c r="AC15" s="3">
        <f t="shared" si="0"/>
        <v>-1</v>
      </c>
    </row>
    <row r="16" spans="1:29" x14ac:dyDescent="0.2">
      <c r="A16" t="s">
        <v>51</v>
      </c>
      <c r="B16" t="s">
        <v>52</v>
      </c>
      <c r="C16" t="s">
        <v>24</v>
      </c>
      <c r="D16" t="s">
        <v>20</v>
      </c>
      <c r="E16" t="s">
        <v>31</v>
      </c>
      <c r="F16">
        <v>30</v>
      </c>
      <c r="G16">
        <v>10</v>
      </c>
      <c r="H16">
        <v>13</v>
      </c>
      <c r="I16">
        <v>2</v>
      </c>
      <c r="J16">
        <v>0</v>
      </c>
      <c r="K16">
        <v>0</v>
      </c>
      <c r="L16">
        <f t="shared" si="1"/>
        <v>55</v>
      </c>
      <c r="M16" s="1" t="str">
        <f t="shared" si="2"/>
        <v>CON</v>
      </c>
      <c r="N16">
        <v>36</v>
      </c>
      <c r="O16">
        <v>6</v>
      </c>
      <c r="P16">
        <v>13</v>
      </c>
      <c r="Q16">
        <v>0</v>
      </c>
      <c r="R16">
        <v>0</v>
      </c>
      <c r="S16">
        <v>0</v>
      </c>
      <c r="T16">
        <f t="shared" si="3"/>
        <v>55</v>
      </c>
      <c r="U16" s="1" t="str">
        <f t="shared" si="4"/>
        <v>CON</v>
      </c>
      <c r="V16" s="2" t="str">
        <f t="shared" si="5"/>
        <v>No change</v>
      </c>
      <c r="W16" t="str">
        <f t="shared" si="6"/>
        <v>No change</v>
      </c>
      <c r="X16" s="3">
        <f t="shared" si="7"/>
        <v>6</v>
      </c>
      <c r="Y16" s="3">
        <f t="shared" si="0"/>
        <v>-4</v>
      </c>
      <c r="Z16" s="3">
        <f t="shared" si="0"/>
        <v>0</v>
      </c>
      <c r="AA16" s="3">
        <f t="shared" si="0"/>
        <v>-2</v>
      </c>
      <c r="AB16" s="3">
        <f t="shared" si="0"/>
        <v>0</v>
      </c>
      <c r="AC16" s="3">
        <f t="shared" si="0"/>
        <v>0</v>
      </c>
    </row>
    <row r="17" spans="1:29" x14ac:dyDescent="0.2">
      <c r="A17" t="s">
        <v>53</v>
      </c>
      <c r="B17" t="s">
        <v>54</v>
      </c>
      <c r="C17" t="s">
        <v>24</v>
      </c>
      <c r="D17" t="s">
        <v>20</v>
      </c>
      <c r="E17" t="s">
        <v>31</v>
      </c>
      <c r="F17">
        <v>36</v>
      </c>
      <c r="G17">
        <v>12</v>
      </c>
      <c r="H17">
        <v>3</v>
      </c>
      <c r="I17">
        <v>16</v>
      </c>
      <c r="J17">
        <v>0</v>
      </c>
      <c r="K17">
        <v>10</v>
      </c>
      <c r="L17">
        <f t="shared" si="1"/>
        <v>77</v>
      </c>
      <c r="M17" s="1" t="str">
        <f t="shared" si="2"/>
        <v>NOC</v>
      </c>
      <c r="N17">
        <v>58</v>
      </c>
      <c r="O17">
        <v>6</v>
      </c>
      <c r="P17">
        <v>1</v>
      </c>
      <c r="Q17">
        <v>0</v>
      </c>
      <c r="R17">
        <v>0</v>
      </c>
      <c r="S17">
        <v>5</v>
      </c>
      <c r="T17">
        <f t="shared" si="3"/>
        <v>70</v>
      </c>
      <c r="U17" s="1" t="str">
        <f t="shared" si="4"/>
        <v>CON</v>
      </c>
      <c r="V17" s="2" t="str">
        <f t="shared" si="5"/>
        <v>NOC loss to CON</v>
      </c>
      <c r="W17" t="str">
        <f t="shared" si="6"/>
        <v>CON gain from NOC</v>
      </c>
      <c r="X17" s="3">
        <f t="shared" si="7"/>
        <v>22</v>
      </c>
      <c r="Y17" s="3">
        <f t="shared" si="0"/>
        <v>-6</v>
      </c>
      <c r="Z17" s="3">
        <f t="shared" si="0"/>
        <v>-2</v>
      </c>
      <c r="AA17" s="3">
        <f t="shared" si="0"/>
        <v>-16</v>
      </c>
      <c r="AB17" s="3">
        <f t="shared" si="0"/>
        <v>0</v>
      </c>
      <c r="AC17" s="3">
        <f t="shared" si="0"/>
        <v>-5</v>
      </c>
    </row>
    <row r="18" spans="1:29" x14ac:dyDescent="0.2">
      <c r="A18" t="s">
        <v>55</v>
      </c>
      <c r="B18" t="s">
        <v>56</v>
      </c>
      <c r="D18" t="s">
        <v>20</v>
      </c>
      <c r="E18" t="s">
        <v>25</v>
      </c>
      <c r="F18">
        <v>40</v>
      </c>
      <c r="G18">
        <v>14</v>
      </c>
      <c r="H18">
        <v>10</v>
      </c>
      <c r="I18">
        <v>15</v>
      </c>
      <c r="J18">
        <v>4</v>
      </c>
      <c r="K18">
        <v>1</v>
      </c>
      <c r="L18">
        <f t="shared" si="1"/>
        <v>84</v>
      </c>
      <c r="M18" s="1" t="str">
        <f t="shared" si="2"/>
        <v>NOC</v>
      </c>
      <c r="N18">
        <v>55</v>
      </c>
      <c r="O18">
        <v>17</v>
      </c>
      <c r="P18">
        <v>11</v>
      </c>
      <c r="Q18">
        <v>0</v>
      </c>
      <c r="R18">
        <v>0</v>
      </c>
      <c r="S18">
        <v>1</v>
      </c>
      <c r="T18">
        <f t="shared" si="3"/>
        <v>84</v>
      </c>
      <c r="U18" s="1" t="str">
        <f t="shared" si="4"/>
        <v>CON</v>
      </c>
      <c r="V18" s="2" t="str">
        <f t="shared" si="5"/>
        <v>NOC loss to CON</v>
      </c>
      <c r="W18" t="str">
        <f t="shared" si="6"/>
        <v>CON gain from NOC</v>
      </c>
      <c r="X18" s="3">
        <f t="shared" si="7"/>
        <v>15</v>
      </c>
      <c r="Y18" s="3">
        <f t="shared" si="0"/>
        <v>3</v>
      </c>
      <c r="Z18" s="3">
        <f t="shared" si="0"/>
        <v>1</v>
      </c>
      <c r="AA18" s="3">
        <f t="shared" si="0"/>
        <v>-15</v>
      </c>
      <c r="AB18" s="3">
        <f t="shared" si="0"/>
        <v>-4</v>
      </c>
      <c r="AC18" s="3">
        <f t="shared" si="0"/>
        <v>0</v>
      </c>
    </row>
    <row r="19" spans="1:29" x14ac:dyDescent="0.2">
      <c r="A19" t="s">
        <v>57</v>
      </c>
      <c r="B19" t="s">
        <v>58</v>
      </c>
      <c r="D19" t="s">
        <v>20</v>
      </c>
      <c r="E19" t="s">
        <v>59</v>
      </c>
      <c r="F19">
        <v>45</v>
      </c>
      <c r="G19">
        <v>7</v>
      </c>
      <c r="H19">
        <v>8</v>
      </c>
      <c r="I19">
        <v>2</v>
      </c>
      <c r="J19">
        <v>0</v>
      </c>
      <c r="K19">
        <v>10</v>
      </c>
      <c r="L19">
        <f t="shared" si="1"/>
        <v>72</v>
      </c>
      <c r="M19" s="1" t="str">
        <f t="shared" si="2"/>
        <v>CON</v>
      </c>
      <c r="N19">
        <v>55</v>
      </c>
      <c r="O19">
        <v>4</v>
      </c>
      <c r="P19">
        <v>3</v>
      </c>
      <c r="Q19">
        <v>0</v>
      </c>
      <c r="R19">
        <v>0</v>
      </c>
      <c r="S19">
        <v>10</v>
      </c>
      <c r="T19">
        <f t="shared" si="3"/>
        <v>72</v>
      </c>
      <c r="U19" s="1" t="str">
        <f t="shared" si="4"/>
        <v>CON</v>
      </c>
      <c r="V19" s="2" t="str">
        <f t="shared" si="5"/>
        <v>No change</v>
      </c>
      <c r="W19" t="str">
        <f t="shared" si="6"/>
        <v>No change</v>
      </c>
      <c r="X19" s="3">
        <f t="shared" si="7"/>
        <v>10</v>
      </c>
      <c r="Y19" s="3">
        <f t="shared" si="7"/>
        <v>-3</v>
      </c>
      <c r="Z19" s="3">
        <f t="shared" si="7"/>
        <v>-5</v>
      </c>
      <c r="AA19" s="3">
        <f t="shared" si="7"/>
        <v>-2</v>
      </c>
      <c r="AB19" s="3">
        <f t="shared" si="7"/>
        <v>0</v>
      </c>
      <c r="AC19" s="3">
        <f t="shared" si="7"/>
        <v>0</v>
      </c>
    </row>
    <row r="20" spans="1:29" x14ac:dyDescent="0.2">
      <c r="A20" t="s">
        <v>60</v>
      </c>
      <c r="B20" t="s">
        <v>61</v>
      </c>
      <c r="D20" t="s">
        <v>20</v>
      </c>
      <c r="E20" t="s">
        <v>31</v>
      </c>
      <c r="F20">
        <v>36</v>
      </c>
      <c r="G20">
        <v>11</v>
      </c>
      <c r="H20">
        <v>6</v>
      </c>
      <c r="I20">
        <v>3</v>
      </c>
      <c r="J20">
        <v>0</v>
      </c>
      <c r="K20">
        <v>1</v>
      </c>
      <c r="L20">
        <f t="shared" si="1"/>
        <v>57</v>
      </c>
      <c r="M20" s="1" t="str">
        <f t="shared" si="2"/>
        <v>CON</v>
      </c>
      <c r="N20">
        <v>43</v>
      </c>
      <c r="O20">
        <v>12</v>
      </c>
      <c r="P20">
        <v>2</v>
      </c>
      <c r="Q20">
        <v>0</v>
      </c>
      <c r="R20">
        <v>0</v>
      </c>
      <c r="S20">
        <v>0</v>
      </c>
      <c r="T20">
        <f t="shared" si="3"/>
        <v>57</v>
      </c>
      <c r="U20" s="1" t="str">
        <f t="shared" si="4"/>
        <v>CON</v>
      </c>
      <c r="V20" s="2" t="str">
        <f t="shared" si="5"/>
        <v>No change</v>
      </c>
      <c r="W20" t="str">
        <f t="shared" si="6"/>
        <v>No change</v>
      </c>
      <c r="X20" s="3">
        <f t="shared" si="7"/>
        <v>7</v>
      </c>
      <c r="Y20" s="3">
        <f t="shared" si="7"/>
        <v>1</v>
      </c>
      <c r="Z20" s="3">
        <f t="shared" si="7"/>
        <v>-4</v>
      </c>
      <c r="AA20" s="3">
        <f t="shared" si="7"/>
        <v>-3</v>
      </c>
      <c r="AB20" s="3">
        <f t="shared" si="7"/>
        <v>0</v>
      </c>
      <c r="AC20" s="3">
        <f t="shared" si="7"/>
        <v>-1</v>
      </c>
    </row>
    <row r="21" spans="1:29" x14ac:dyDescent="0.2">
      <c r="A21" t="s">
        <v>62</v>
      </c>
      <c r="B21" t="s">
        <v>63</v>
      </c>
      <c r="C21" t="s">
        <v>24</v>
      </c>
      <c r="D21" t="s">
        <v>20</v>
      </c>
      <c r="E21" t="s">
        <v>31</v>
      </c>
      <c r="F21">
        <v>21</v>
      </c>
      <c r="G21">
        <v>34</v>
      </c>
      <c r="H21">
        <v>8</v>
      </c>
      <c r="I21">
        <v>0</v>
      </c>
      <c r="J21">
        <v>0</v>
      </c>
      <c r="K21">
        <v>4</v>
      </c>
      <c r="L21">
        <f t="shared" si="1"/>
        <v>67</v>
      </c>
      <c r="M21" s="1" t="str">
        <f t="shared" si="2"/>
        <v>LAB</v>
      </c>
      <c r="N21">
        <v>31</v>
      </c>
      <c r="O21">
        <v>23</v>
      </c>
      <c r="P21">
        <v>1</v>
      </c>
      <c r="Q21">
        <v>0</v>
      </c>
      <c r="R21">
        <v>0</v>
      </c>
      <c r="S21">
        <v>11</v>
      </c>
      <c r="T21">
        <f t="shared" si="3"/>
        <v>66</v>
      </c>
      <c r="U21" s="1" t="str">
        <f t="shared" si="4"/>
        <v>NOC</v>
      </c>
      <c r="V21" s="2" t="str">
        <f t="shared" si="5"/>
        <v>LAB loss to NOC</v>
      </c>
      <c r="W21" t="str">
        <f t="shared" si="6"/>
        <v>NOC gain from LAB</v>
      </c>
      <c r="X21" s="3">
        <f t="shared" si="7"/>
        <v>10</v>
      </c>
      <c r="Y21" s="3">
        <f t="shared" si="7"/>
        <v>-11</v>
      </c>
      <c r="Z21" s="3">
        <f t="shared" si="7"/>
        <v>-7</v>
      </c>
      <c r="AA21" s="3">
        <f t="shared" si="7"/>
        <v>0</v>
      </c>
      <c r="AB21" s="3">
        <f t="shared" si="7"/>
        <v>0</v>
      </c>
      <c r="AC21" s="3">
        <f t="shared" si="7"/>
        <v>7</v>
      </c>
    </row>
    <row r="22" spans="1:29" x14ac:dyDescent="0.2">
      <c r="A22" t="s">
        <v>64</v>
      </c>
      <c r="B22" t="s">
        <v>65</v>
      </c>
      <c r="D22" t="s">
        <v>20</v>
      </c>
      <c r="E22" t="s">
        <v>21</v>
      </c>
      <c r="F22">
        <v>31</v>
      </c>
      <c r="G22">
        <v>15</v>
      </c>
      <c r="H22">
        <v>11</v>
      </c>
      <c r="I22">
        <v>0</v>
      </c>
      <c r="J22">
        <v>2</v>
      </c>
      <c r="K22">
        <v>4</v>
      </c>
      <c r="L22">
        <f t="shared" si="1"/>
        <v>63</v>
      </c>
      <c r="M22" s="1" t="str">
        <f t="shared" si="2"/>
        <v>NOC</v>
      </c>
      <c r="N22">
        <v>31</v>
      </c>
      <c r="O22">
        <v>14</v>
      </c>
      <c r="P22">
        <v>13</v>
      </c>
      <c r="Q22">
        <v>0</v>
      </c>
      <c r="R22">
        <v>0</v>
      </c>
      <c r="S22">
        <v>5</v>
      </c>
      <c r="T22">
        <f t="shared" si="3"/>
        <v>63</v>
      </c>
      <c r="U22" s="1" t="str">
        <f t="shared" si="4"/>
        <v>NOC</v>
      </c>
      <c r="V22" s="2" t="str">
        <f t="shared" si="5"/>
        <v>No change</v>
      </c>
      <c r="W22" t="str">
        <f t="shared" si="6"/>
        <v>No change</v>
      </c>
      <c r="X22" s="3">
        <f t="shared" si="7"/>
        <v>0</v>
      </c>
      <c r="Y22" s="3">
        <f t="shared" si="7"/>
        <v>-1</v>
      </c>
      <c r="Z22" s="3">
        <f t="shared" si="7"/>
        <v>2</v>
      </c>
      <c r="AA22" s="3">
        <f t="shared" si="7"/>
        <v>0</v>
      </c>
      <c r="AB22" s="3">
        <f t="shared" si="7"/>
        <v>-2</v>
      </c>
      <c r="AC22" s="3">
        <f t="shared" si="7"/>
        <v>1</v>
      </c>
    </row>
    <row r="23" spans="1:29" x14ac:dyDescent="0.2">
      <c r="A23" s="8" t="s">
        <v>66</v>
      </c>
      <c r="B23" s="8" t="s">
        <v>67</v>
      </c>
      <c r="C23" s="8"/>
      <c r="D23" s="8" t="s">
        <v>20</v>
      </c>
      <c r="E23" s="8" t="s">
        <v>34</v>
      </c>
      <c r="F23" s="8">
        <v>29</v>
      </c>
      <c r="G23" s="8">
        <v>3</v>
      </c>
      <c r="H23" s="8">
        <v>18</v>
      </c>
      <c r="I23" s="8">
        <v>3</v>
      </c>
      <c r="J23" s="8">
        <v>0</v>
      </c>
      <c r="K23" s="8">
        <v>2</v>
      </c>
      <c r="L23" s="8">
        <f t="shared" si="1"/>
        <v>55</v>
      </c>
      <c r="M23" s="9" t="str">
        <f t="shared" si="2"/>
        <v>CON</v>
      </c>
      <c r="N23" s="8">
        <v>35</v>
      </c>
      <c r="O23" s="8">
        <v>3</v>
      </c>
      <c r="P23" s="8">
        <v>12</v>
      </c>
      <c r="Q23" s="8">
        <v>0</v>
      </c>
      <c r="R23" s="8">
        <v>2</v>
      </c>
      <c r="S23" s="8">
        <v>3</v>
      </c>
      <c r="T23" s="8">
        <f t="shared" si="3"/>
        <v>55</v>
      </c>
      <c r="U23" s="9" t="str">
        <f t="shared" si="4"/>
        <v>CON</v>
      </c>
      <c r="V23" s="2" t="str">
        <f t="shared" si="5"/>
        <v>No change</v>
      </c>
      <c r="W23" s="8" t="str">
        <f t="shared" si="6"/>
        <v>No change</v>
      </c>
      <c r="X23" s="3">
        <f t="shared" si="7"/>
        <v>6</v>
      </c>
      <c r="Y23" s="3">
        <f t="shared" si="7"/>
        <v>0</v>
      </c>
      <c r="Z23" s="3">
        <f t="shared" si="7"/>
        <v>-6</v>
      </c>
      <c r="AA23" s="3">
        <f t="shared" si="7"/>
        <v>-3</v>
      </c>
      <c r="AB23" s="3">
        <f t="shared" si="7"/>
        <v>2</v>
      </c>
      <c r="AC23" s="3">
        <f t="shared" si="7"/>
        <v>1</v>
      </c>
    </row>
    <row r="24" spans="1:29" x14ac:dyDescent="0.2">
      <c r="A24" t="s">
        <v>68</v>
      </c>
      <c r="B24" t="s">
        <v>69</v>
      </c>
      <c r="D24" t="s">
        <v>20</v>
      </c>
      <c r="E24" t="s">
        <v>70</v>
      </c>
      <c r="F24">
        <v>34</v>
      </c>
      <c r="G24">
        <v>24</v>
      </c>
      <c r="H24">
        <v>0</v>
      </c>
      <c r="I24">
        <v>2</v>
      </c>
      <c r="J24">
        <v>0</v>
      </c>
      <c r="K24">
        <v>2</v>
      </c>
      <c r="L24">
        <f t="shared" si="1"/>
        <v>62</v>
      </c>
      <c r="M24" s="1" t="str">
        <f t="shared" si="2"/>
        <v>CON</v>
      </c>
      <c r="N24">
        <v>51</v>
      </c>
      <c r="O24">
        <v>10</v>
      </c>
      <c r="P24">
        <v>0</v>
      </c>
      <c r="Q24">
        <v>0</v>
      </c>
      <c r="R24">
        <v>0</v>
      </c>
      <c r="S24">
        <v>1</v>
      </c>
      <c r="T24">
        <f t="shared" si="3"/>
        <v>62</v>
      </c>
      <c r="U24" s="1" t="str">
        <f t="shared" si="4"/>
        <v>CON</v>
      </c>
      <c r="V24" s="2" t="str">
        <f t="shared" si="5"/>
        <v>No change</v>
      </c>
      <c r="W24" t="str">
        <f t="shared" si="6"/>
        <v>No change</v>
      </c>
      <c r="X24" s="3">
        <f t="shared" si="7"/>
        <v>17</v>
      </c>
      <c r="Y24" s="3">
        <f t="shared" si="7"/>
        <v>-14</v>
      </c>
      <c r="Z24" s="3">
        <f t="shared" si="7"/>
        <v>0</v>
      </c>
      <c r="AA24" s="3">
        <f t="shared" si="7"/>
        <v>-2</v>
      </c>
      <c r="AB24" s="3">
        <f t="shared" si="7"/>
        <v>0</v>
      </c>
      <c r="AC24" s="3">
        <f t="shared" si="7"/>
        <v>-1</v>
      </c>
    </row>
    <row r="25" spans="1:29" x14ac:dyDescent="0.2">
      <c r="A25" t="s">
        <v>71</v>
      </c>
      <c r="B25" t="s">
        <v>72</v>
      </c>
      <c r="D25" t="s">
        <v>20</v>
      </c>
      <c r="E25" t="s">
        <v>25</v>
      </c>
      <c r="F25">
        <v>39</v>
      </c>
      <c r="G25">
        <v>15</v>
      </c>
      <c r="H25">
        <v>7</v>
      </c>
      <c r="I25">
        <v>9</v>
      </c>
      <c r="J25">
        <v>2</v>
      </c>
      <c r="K25">
        <v>3</v>
      </c>
      <c r="L25">
        <f t="shared" si="1"/>
        <v>75</v>
      </c>
      <c r="M25" s="1" t="str">
        <f t="shared" si="2"/>
        <v>CON</v>
      </c>
      <c r="N25">
        <v>52</v>
      </c>
      <c r="O25">
        <v>11</v>
      </c>
      <c r="P25">
        <v>5</v>
      </c>
      <c r="Q25">
        <v>0</v>
      </c>
      <c r="R25">
        <v>3</v>
      </c>
      <c r="S25">
        <v>4</v>
      </c>
      <c r="T25">
        <f t="shared" si="3"/>
        <v>75</v>
      </c>
      <c r="U25" s="1" t="str">
        <f t="shared" si="4"/>
        <v>CON</v>
      </c>
      <c r="V25" s="2" t="str">
        <f t="shared" si="5"/>
        <v>No change</v>
      </c>
      <c r="W25" t="str">
        <f t="shared" si="6"/>
        <v>No change</v>
      </c>
      <c r="X25" s="3">
        <f t="shared" si="7"/>
        <v>13</v>
      </c>
      <c r="Y25" s="3">
        <f t="shared" si="7"/>
        <v>-4</v>
      </c>
      <c r="Z25" s="3">
        <f t="shared" si="7"/>
        <v>-2</v>
      </c>
      <c r="AA25" s="3">
        <f t="shared" si="7"/>
        <v>-9</v>
      </c>
      <c r="AB25" s="3">
        <f t="shared" si="7"/>
        <v>1</v>
      </c>
      <c r="AC25" s="3">
        <f t="shared" si="7"/>
        <v>1</v>
      </c>
    </row>
    <row r="26" spans="1:29" x14ac:dyDescent="0.2">
      <c r="A26" t="s">
        <v>73</v>
      </c>
      <c r="B26" t="s">
        <v>74</v>
      </c>
      <c r="D26" t="s">
        <v>20</v>
      </c>
      <c r="E26" t="s">
        <v>21</v>
      </c>
      <c r="F26">
        <v>58</v>
      </c>
      <c r="G26">
        <v>1</v>
      </c>
      <c r="H26">
        <v>9</v>
      </c>
      <c r="I26">
        <v>3</v>
      </c>
      <c r="J26">
        <v>1</v>
      </c>
      <c r="K26">
        <v>9</v>
      </c>
      <c r="L26">
        <f t="shared" si="1"/>
        <v>81</v>
      </c>
      <c r="M26" s="1" t="str">
        <f t="shared" si="2"/>
        <v>CON</v>
      </c>
      <c r="N26">
        <v>61</v>
      </c>
      <c r="O26">
        <v>1</v>
      </c>
      <c r="P26">
        <v>9</v>
      </c>
      <c r="Q26">
        <v>0</v>
      </c>
      <c r="R26">
        <v>1</v>
      </c>
      <c r="S26">
        <v>9</v>
      </c>
      <c r="T26">
        <f t="shared" si="3"/>
        <v>81</v>
      </c>
      <c r="U26" s="1" t="str">
        <f t="shared" si="4"/>
        <v>CON</v>
      </c>
      <c r="V26" s="2" t="str">
        <f t="shared" si="5"/>
        <v>No change</v>
      </c>
      <c r="W26" t="str">
        <f t="shared" si="6"/>
        <v>No change</v>
      </c>
      <c r="X26" s="3">
        <f t="shared" si="7"/>
        <v>3</v>
      </c>
      <c r="Y26" s="3">
        <f t="shared" si="7"/>
        <v>0</v>
      </c>
      <c r="Z26" s="3">
        <f t="shared" si="7"/>
        <v>0</v>
      </c>
      <c r="AA26" s="3">
        <f t="shared" si="7"/>
        <v>-3</v>
      </c>
      <c r="AB26" s="3">
        <f t="shared" si="7"/>
        <v>0</v>
      </c>
      <c r="AC26" s="3">
        <f t="shared" si="7"/>
        <v>0</v>
      </c>
    </row>
    <row r="27" spans="1:29" x14ac:dyDescent="0.2">
      <c r="A27" t="s">
        <v>75</v>
      </c>
      <c r="B27" t="s">
        <v>76</v>
      </c>
      <c r="C27" t="s">
        <v>24</v>
      </c>
      <c r="D27" t="s">
        <v>20</v>
      </c>
      <c r="E27" t="s">
        <v>70</v>
      </c>
      <c r="F27">
        <v>26</v>
      </c>
      <c r="G27">
        <v>22</v>
      </c>
      <c r="H27">
        <v>9</v>
      </c>
      <c r="I27">
        <v>0</v>
      </c>
      <c r="J27">
        <v>2</v>
      </c>
      <c r="K27">
        <v>3</v>
      </c>
      <c r="L27">
        <f t="shared" si="1"/>
        <v>62</v>
      </c>
      <c r="M27" s="1" t="str">
        <f t="shared" si="2"/>
        <v>NOC</v>
      </c>
      <c r="N27">
        <v>36</v>
      </c>
      <c r="O27">
        <v>10</v>
      </c>
      <c r="P27">
        <v>7</v>
      </c>
      <c r="Q27">
        <v>0</v>
      </c>
      <c r="R27">
        <v>2</v>
      </c>
      <c r="S27">
        <v>2</v>
      </c>
      <c r="T27">
        <f t="shared" si="3"/>
        <v>57</v>
      </c>
      <c r="U27" s="1" t="str">
        <f t="shared" si="4"/>
        <v>CON</v>
      </c>
      <c r="V27" s="2" t="str">
        <f t="shared" si="5"/>
        <v>NOC loss to CON</v>
      </c>
      <c r="W27" t="str">
        <f t="shared" si="6"/>
        <v>CON gain from NOC</v>
      </c>
      <c r="X27" s="3">
        <f t="shared" si="7"/>
        <v>10</v>
      </c>
      <c r="Y27" s="3">
        <f t="shared" si="7"/>
        <v>-12</v>
      </c>
      <c r="Z27" s="3">
        <f t="shared" si="7"/>
        <v>-2</v>
      </c>
      <c r="AA27" s="3">
        <f t="shared" si="7"/>
        <v>0</v>
      </c>
      <c r="AB27" s="3">
        <f t="shared" si="7"/>
        <v>0</v>
      </c>
      <c r="AC27" s="3">
        <f t="shared" si="7"/>
        <v>-1</v>
      </c>
    </row>
    <row r="28" spans="1:29" x14ac:dyDescent="0.2">
      <c r="A28" t="s">
        <v>77</v>
      </c>
      <c r="B28" t="s">
        <v>78</v>
      </c>
      <c r="C28" t="s">
        <v>24</v>
      </c>
      <c r="D28" t="s">
        <v>20</v>
      </c>
      <c r="E28" t="s">
        <v>21</v>
      </c>
      <c r="F28">
        <v>46</v>
      </c>
      <c r="G28">
        <v>6</v>
      </c>
      <c r="H28">
        <v>8</v>
      </c>
      <c r="I28">
        <v>10</v>
      </c>
      <c r="J28">
        <v>0</v>
      </c>
      <c r="K28">
        <v>1</v>
      </c>
      <c r="L28">
        <f t="shared" si="1"/>
        <v>71</v>
      </c>
      <c r="M28" s="1" t="str">
        <f t="shared" si="2"/>
        <v>CON</v>
      </c>
      <c r="N28">
        <v>56</v>
      </c>
      <c r="O28">
        <v>5</v>
      </c>
      <c r="P28">
        <v>9</v>
      </c>
      <c r="Q28">
        <v>0</v>
      </c>
      <c r="R28">
        <v>0</v>
      </c>
      <c r="S28">
        <v>0</v>
      </c>
      <c r="T28">
        <f t="shared" si="3"/>
        <v>70</v>
      </c>
      <c r="U28" s="1" t="str">
        <f t="shared" si="4"/>
        <v>CON</v>
      </c>
      <c r="V28" s="2" t="str">
        <f t="shared" si="5"/>
        <v>No change</v>
      </c>
      <c r="W28" t="str">
        <f t="shared" si="6"/>
        <v>No change</v>
      </c>
      <c r="X28" s="3">
        <f t="shared" si="7"/>
        <v>10</v>
      </c>
      <c r="Y28" s="3">
        <f t="shared" si="7"/>
        <v>-1</v>
      </c>
      <c r="Z28" s="3">
        <f t="shared" si="7"/>
        <v>1</v>
      </c>
      <c r="AA28" s="3">
        <f t="shared" si="7"/>
        <v>-10</v>
      </c>
      <c r="AB28" s="3">
        <f t="shared" si="7"/>
        <v>0</v>
      </c>
      <c r="AC28" s="3">
        <f t="shared" si="7"/>
        <v>-1</v>
      </c>
    </row>
    <row r="29" spans="1:29" x14ac:dyDescent="0.2">
      <c r="A29" t="s">
        <v>79</v>
      </c>
      <c r="B29" t="s">
        <v>80</v>
      </c>
      <c r="D29" t="s">
        <v>20</v>
      </c>
      <c r="E29" t="s">
        <v>70</v>
      </c>
      <c r="F29">
        <v>30</v>
      </c>
      <c r="G29">
        <v>12</v>
      </c>
      <c r="H29">
        <v>3</v>
      </c>
      <c r="I29">
        <v>4</v>
      </c>
      <c r="J29">
        <v>2</v>
      </c>
      <c r="K29">
        <v>6</v>
      </c>
      <c r="L29">
        <f t="shared" si="1"/>
        <v>57</v>
      </c>
      <c r="M29" s="1" t="str">
        <f t="shared" si="2"/>
        <v>CON</v>
      </c>
      <c r="N29">
        <v>40</v>
      </c>
      <c r="O29">
        <v>10</v>
      </c>
      <c r="P29">
        <v>3</v>
      </c>
      <c r="Q29">
        <v>0</v>
      </c>
      <c r="R29">
        <v>2</v>
      </c>
      <c r="S29">
        <v>2</v>
      </c>
      <c r="T29">
        <f t="shared" si="3"/>
        <v>57</v>
      </c>
      <c r="U29" s="1" t="str">
        <f t="shared" si="4"/>
        <v>CON</v>
      </c>
      <c r="V29" s="2" t="str">
        <f t="shared" si="5"/>
        <v>No change</v>
      </c>
      <c r="W29" t="str">
        <f t="shared" si="6"/>
        <v>No change</v>
      </c>
      <c r="X29" s="3">
        <f t="shared" si="7"/>
        <v>10</v>
      </c>
      <c r="Y29" s="3">
        <f t="shared" si="7"/>
        <v>-2</v>
      </c>
      <c r="Z29" s="3">
        <f t="shared" si="7"/>
        <v>0</v>
      </c>
      <c r="AA29" s="3">
        <f t="shared" si="7"/>
        <v>-4</v>
      </c>
      <c r="AB29" s="3">
        <f t="shared" si="7"/>
        <v>0</v>
      </c>
      <c r="AC29" s="3">
        <f t="shared" si="7"/>
        <v>-4</v>
      </c>
    </row>
    <row r="30" spans="1:29" x14ac:dyDescent="0.2">
      <c r="A30" t="s">
        <v>81</v>
      </c>
      <c r="B30" t="s">
        <v>82</v>
      </c>
      <c r="D30" t="s">
        <v>83</v>
      </c>
      <c r="E30" t="s">
        <v>34</v>
      </c>
      <c r="F30">
        <v>31</v>
      </c>
      <c r="G30">
        <v>8</v>
      </c>
      <c r="H30">
        <v>36</v>
      </c>
      <c r="I30">
        <v>6</v>
      </c>
      <c r="J30">
        <v>1</v>
      </c>
      <c r="K30">
        <v>41</v>
      </c>
      <c r="L30">
        <f t="shared" si="1"/>
        <v>123</v>
      </c>
      <c r="M30" s="1" t="str">
        <f t="shared" si="2"/>
        <v>NOC</v>
      </c>
      <c r="N30">
        <v>46</v>
      </c>
      <c r="O30">
        <v>5</v>
      </c>
      <c r="P30">
        <v>37</v>
      </c>
      <c r="Q30">
        <v>0</v>
      </c>
      <c r="R30">
        <v>0</v>
      </c>
      <c r="S30">
        <v>34</v>
      </c>
      <c r="T30">
        <f t="shared" si="3"/>
        <v>122</v>
      </c>
      <c r="U30" s="1" t="str">
        <f t="shared" si="4"/>
        <v>NOC</v>
      </c>
      <c r="V30" s="2" t="str">
        <f t="shared" si="5"/>
        <v>No change</v>
      </c>
      <c r="W30" t="str">
        <f t="shared" si="6"/>
        <v>No change</v>
      </c>
      <c r="X30" s="3">
        <f t="shared" si="7"/>
        <v>15</v>
      </c>
      <c r="Y30" s="3">
        <f t="shared" si="7"/>
        <v>-3</v>
      </c>
      <c r="Z30" s="3">
        <f t="shared" si="7"/>
        <v>1</v>
      </c>
      <c r="AA30" s="3">
        <f t="shared" si="7"/>
        <v>-6</v>
      </c>
      <c r="AB30" s="3">
        <f t="shared" si="7"/>
        <v>-1</v>
      </c>
      <c r="AC30" s="3">
        <f t="shared" si="7"/>
        <v>-7</v>
      </c>
    </row>
    <row r="31" spans="1:29" x14ac:dyDescent="0.2">
      <c r="A31" t="s">
        <v>84</v>
      </c>
      <c r="B31" t="s">
        <v>85</v>
      </c>
      <c r="D31" t="s">
        <v>83</v>
      </c>
      <c r="E31" t="s">
        <v>86</v>
      </c>
      <c r="F31">
        <v>4</v>
      </c>
      <c r="G31">
        <v>94</v>
      </c>
      <c r="H31">
        <v>9</v>
      </c>
      <c r="I31">
        <v>0</v>
      </c>
      <c r="J31">
        <v>0</v>
      </c>
      <c r="K31">
        <v>19</v>
      </c>
      <c r="L31">
        <f t="shared" si="1"/>
        <v>126</v>
      </c>
      <c r="M31" s="1" t="str">
        <f t="shared" si="2"/>
        <v>LAB</v>
      </c>
      <c r="N31">
        <v>10</v>
      </c>
      <c r="O31">
        <v>74</v>
      </c>
      <c r="P31">
        <v>14</v>
      </c>
      <c r="Q31">
        <v>0</v>
      </c>
      <c r="R31">
        <v>0</v>
      </c>
      <c r="S31">
        <v>28</v>
      </c>
      <c r="T31">
        <f t="shared" si="3"/>
        <v>126</v>
      </c>
      <c r="U31" s="1" t="str">
        <f t="shared" si="4"/>
        <v>LAB</v>
      </c>
      <c r="V31" s="2" t="str">
        <f t="shared" si="5"/>
        <v>No change</v>
      </c>
      <c r="W31" t="str">
        <f t="shared" si="6"/>
        <v>No change</v>
      </c>
      <c r="X31" s="3">
        <f t="shared" si="7"/>
        <v>6</v>
      </c>
      <c r="Y31" s="3">
        <f t="shared" si="7"/>
        <v>-20</v>
      </c>
      <c r="Z31" s="3">
        <f t="shared" si="7"/>
        <v>5</v>
      </c>
      <c r="AA31" s="3">
        <f t="shared" si="7"/>
        <v>0</v>
      </c>
      <c r="AB31" s="3">
        <f t="shared" si="7"/>
        <v>0</v>
      </c>
      <c r="AC31" s="3">
        <f t="shared" si="7"/>
        <v>9</v>
      </c>
    </row>
    <row r="32" spans="1:29" x14ac:dyDescent="0.2">
      <c r="A32" t="s">
        <v>87</v>
      </c>
      <c r="B32" t="s">
        <v>88</v>
      </c>
      <c r="D32" t="s">
        <v>83</v>
      </c>
      <c r="E32" t="s">
        <v>21</v>
      </c>
      <c r="F32">
        <v>15</v>
      </c>
      <c r="G32">
        <v>2</v>
      </c>
      <c r="H32">
        <v>1</v>
      </c>
      <c r="I32">
        <v>2</v>
      </c>
      <c r="J32">
        <v>0</v>
      </c>
      <c r="K32">
        <v>20</v>
      </c>
      <c r="L32">
        <f t="shared" si="1"/>
        <v>40</v>
      </c>
      <c r="M32" s="1" t="str">
        <f t="shared" si="2"/>
        <v>NOC</v>
      </c>
      <c r="N32">
        <v>25</v>
      </c>
      <c r="O32">
        <v>1</v>
      </c>
      <c r="P32">
        <v>2</v>
      </c>
      <c r="Q32">
        <v>0</v>
      </c>
      <c r="R32">
        <v>1</v>
      </c>
      <c r="S32">
        <v>11</v>
      </c>
      <c r="T32">
        <f t="shared" si="3"/>
        <v>40</v>
      </c>
      <c r="U32" s="1" t="str">
        <f t="shared" si="4"/>
        <v>CON</v>
      </c>
      <c r="V32" s="2" t="str">
        <f t="shared" si="5"/>
        <v>NOC loss to CON</v>
      </c>
      <c r="W32" t="str">
        <f t="shared" si="6"/>
        <v>CON gain from NOC</v>
      </c>
      <c r="X32" s="3">
        <f t="shared" si="7"/>
        <v>10</v>
      </c>
      <c r="Y32" s="3">
        <f t="shared" si="7"/>
        <v>-1</v>
      </c>
      <c r="Z32" s="3">
        <f t="shared" si="7"/>
        <v>1</v>
      </c>
      <c r="AA32" s="3">
        <f t="shared" si="7"/>
        <v>-2</v>
      </c>
      <c r="AB32" s="3">
        <f t="shared" si="7"/>
        <v>1</v>
      </c>
      <c r="AC32" s="3">
        <f t="shared" si="7"/>
        <v>-9</v>
      </c>
    </row>
    <row r="33" spans="1:29" x14ac:dyDescent="0.2">
      <c r="A33" t="s">
        <v>89</v>
      </c>
      <c r="B33" t="s">
        <v>90</v>
      </c>
      <c r="D33" t="s">
        <v>83</v>
      </c>
      <c r="E33" t="s">
        <v>86</v>
      </c>
      <c r="F33">
        <v>21</v>
      </c>
      <c r="G33">
        <v>32</v>
      </c>
      <c r="H33">
        <v>11</v>
      </c>
      <c r="I33">
        <v>0</v>
      </c>
      <c r="J33">
        <v>0</v>
      </c>
      <c r="K33">
        <v>3</v>
      </c>
      <c r="L33">
        <f t="shared" si="1"/>
        <v>67</v>
      </c>
      <c r="M33" s="1" t="str">
        <f t="shared" si="2"/>
        <v>NOC</v>
      </c>
      <c r="N33">
        <v>33</v>
      </c>
      <c r="O33">
        <v>24</v>
      </c>
      <c r="P33">
        <v>3</v>
      </c>
      <c r="Q33">
        <v>0</v>
      </c>
      <c r="R33">
        <v>0</v>
      </c>
      <c r="S33">
        <v>7</v>
      </c>
      <c r="T33">
        <f t="shared" si="3"/>
        <v>67</v>
      </c>
      <c r="U33" s="1" t="str">
        <f t="shared" si="4"/>
        <v>NOC</v>
      </c>
      <c r="V33" s="2" t="str">
        <f t="shared" si="5"/>
        <v>No change</v>
      </c>
      <c r="W33" t="str">
        <f t="shared" si="6"/>
        <v>No change</v>
      </c>
      <c r="X33" s="3">
        <f t="shared" si="7"/>
        <v>12</v>
      </c>
      <c r="Y33" s="3">
        <f t="shared" si="7"/>
        <v>-8</v>
      </c>
      <c r="Z33" s="3">
        <f t="shared" si="7"/>
        <v>-8</v>
      </c>
      <c r="AA33" s="3">
        <f t="shared" si="7"/>
        <v>0</v>
      </c>
      <c r="AB33" s="3">
        <f t="shared" si="7"/>
        <v>0</v>
      </c>
      <c r="AC33" s="3">
        <f t="shared" si="7"/>
        <v>4</v>
      </c>
    </row>
    <row r="34" spans="1:29" x14ac:dyDescent="0.2">
      <c r="A34" t="s">
        <v>91</v>
      </c>
      <c r="B34" t="s">
        <v>92</v>
      </c>
      <c r="D34" t="s">
        <v>83</v>
      </c>
      <c r="E34" t="s">
        <v>70</v>
      </c>
      <c r="F34">
        <v>48</v>
      </c>
      <c r="G34">
        <v>9</v>
      </c>
      <c r="H34">
        <v>12</v>
      </c>
      <c r="I34">
        <v>0</v>
      </c>
      <c r="J34">
        <v>0</v>
      </c>
      <c r="K34">
        <v>5</v>
      </c>
      <c r="L34">
        <f t="shared" si="1"/>
        <v>74</v>
      </c>
      <c r="M34" s="1" t="str">
        <f t="shared" si="2"/>
        <v>CON</v>
      </c>
      <c r="N34">
        <v>49</v>
      </c>
      <c r="O34">
        <v>8</v>
      </c>
      <c r="P34">
        <v>12</v>
      </c>
      <c r="Q34">
        <v>0</v>
      </c>
      <c r="R34">
        <v>1</v>
      </c>
      <c r="S34">
        <v>4</v>
      </c>
      <c r="T34">
        <f t="shared" si="3"/>
        <v>74</v>
      </c>
      <c r="U34" s="1" t="str">
        <f t="shared" si="4"/>
        <v>CON</v>
      </c>
      <c r="V34" s="2" t="str">
        <f t="shared" si="5"/>
        <v>No change</v>
      </c>
      <c r="W34" t="str">
        <f t="shared" si="6"/>
        <v>No change</v>
      </c>
      <c r="X34" s="3">
        <f t="shared" si="7"/>
        <v>1</v>
      </c>
      <c r="Y34" s="3">
        <f t="shared" si="7"/>
        <v>-1</v>
      </c>
      <c r="Z34" s="3">
        <f t="shared" si="7"/>
        <v>0</v>
      </c>
      <c r="AA34" s="3">
        <f t="shared" si="7"/>
        <v>0</v>
      </c>
      <c r="AB34" s="3">
        <f t="shared" si="7"/>
        <v>1</v>
      </c>
      <c r="AC34" s="3">
        <f t="shared" si="7"/>
        <v>-1</v>
      </c>
    </row>
    <row r="35" spans="1:29" x14ac:dyDescent="0.2">
      <c r="A35" t="s">
        <v>93</v>
      </c>
      <c r="B35" t="s">
        <v>94</v>
      </c>
      <c r="D35" t="s">
        <v>83</v>
      </c>
      <c r="E35" t="s">
        <v>34</v>
      </c>
      <c r="F35">
        <v>58</v>
      </c>
      <c r="G35">
        <v>4</v>
      </c>
      <c r="H35">
        <v>27</v>
      </c>
      <c r="I35">
        <v>1</v>
      </c>
      <c r="J35">
        <v>0</v>
      </c>
      <c r="K35">
        <v>8</v>
      </c>
      <c r="L35">
        <f t="shared" si="1"/>
        <v>98</v>
      </c>
      <c r="M35" s="1" t="str">
        <f t="shared" si="2"/>
        <v>CON</v>
      </c>
      <c r="N35">
        <v>68</v>
      </c>
      <c r="O35">
        <v>3</v>
      </c>
      <c r="P35">
        <v>20</v>
      </c>
      <c r="Q35">
        <v>0</v>
      </c>
      <c r="R35">
        <v>0</v>
      </c>
      <c r="S35">
        <v>7</v>
      </c>
      <c r="T35">
        <f t="shared" si="3"/>
        <v>98</v>
      </c>
      <c r="U35" s="1" t="str">
        <f t="shared" si="4"/>
        <v>CON</v>
      </c>
      <c r="V35" s="2" t="str">
        <f t="shared" si="5"/>
        <v>No change</v>
      </c>
      <c r="W35" t="str">
        <f t="shared" si="6"/>
        <v>No change</v>
      </c>
      <c r="X35" s="3">
        <f t="shared" si="7"/>
        <v>10</v>
      </c>
      <c r="Y35" s="3">
        <f t="shared" si="7"/>
        <v>-1</v>
      </c>
      <c r="Z35" s="3">
        <f t="shared" si="7"/>
        <v>-7</v>
      </c>
      <c r="AA35" s="3">
        <f t="shared" si="7"/>
        <v>-1</v>
      </c>
      <c r="AB35" s="3">
        <f t="shared" si="7"/>
        <v>0</v>
      </c>
      <c r="AC35" s="3">
        <f t="shared" si="7"/>
        <v>-1</v>
      </c>
    </row>
    <row r="36" spans="1:29" x14ac:dyDescent="0.2">
      <c r="A36" t="s">
        <v>95</v>
      </c>
      <c r="B36" t="s">
        <v>96</v>
      </c>
      <c r="D36" t="s">
        <v>97</v>
      </c>
      <c r="E36" t="s">
        <v>59</v>
      </c>
      <c r="F36">
        <v>8</v>
      </c>
      <c r="G36">
        <v>41</v>
      </c>
      <c r="H36">
        <v>0</v>
      </c>
      <c r="I36">
        <v>2</v>
      </c>
      <c r="J36">
        <v>0</v>
      </c>
      <c r="K36">
        <v>4</v>
      </c>
      <c r="L36">
        <f t="shared" si="1"/>
        <v>55</v>
      </c>
      <c r="M36" s="1" t="str">
        <f t="shared" si="2"/>
        <v>LAB</v>
      </c>
      <c r="N36">
        <v>7</v>
      </c>
      <c r="O36">
        <v>43</v>
      </c>
      <c r="P36">
        <v>0</v>
      </c>
      <c r="Q36">
        <v>0</v>
      </c>
      <c r="R36">
        <v>0</v>
      </c>
      <c r="S36">
        <v>5</v>
      </c>
      <c r="T36">
        <f t="shared" si="3"/>
        <v>55</v>
      </c>
      <c r="U36" s="1" t="str">
        <f t="shared" si="4"/>
        <v>LAB</v>
      </c>
      <c r="V36" s="2" t="str">
        <f t="shared" si="5"/>
        <v>No change</v>
      </c>
      <c r="W36" t="str">
        <f t="shared" si="6"/>
        <v>No change</v>
      </c>
      <c r="X36" s="3">
        <f t="shared" si="7"/>
        <v>-1</v>
      </c>
      <c r="Y36" s="3">
        <f t="shared" si="7"/>
        <v>2</v>
      </c>
      <c r="Z36" s="3">
        <f t="shared" si="7"/>
        <v>0</v>
      </c>
      <c r="AA36" s="3">
        <f t="shared" si="7"/>
        <v>-2</v>
      </c>
      <c r="AB36" s="3">
        <f t="shared" si="7"/>
        <v>0</v>
      </c>
      <c r="AC36" s="3">
        <f t="shared" si="7"/>
        <v>1</v>
      </c>
    </row>
  </sheetData>
  <mergeCells count="4">
    <mergeCell ref="F1:L1"/>
    <mergeCell ref="N1:T1"/>
    <mergeCell ref="V1:W1"/>
    <mergeCell ref="X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workbookViewId="0">
      <selection activeCell="D42" sqref="D42"/>
    </sheetView>
  </sheetViews>
  <sheetFormatPr defaultRowHeight="11.25" x14ac:dyDescent="0.2"/>
  <cols>
    <col min="1" max="1" width="10.83203125" customWidth="1"/>
    <col min="2" max="2" width="19.6640625" bestFit="1" customWidth="1"/>
    <col min="3" max="3" width="19.6640625" customWidth="1"/>
    <col min="4" max="4" width="18.83203125" bestFit="1" customWidth="1"/>
    <col min="5" max="5" width="22.1640625" bestFit="1" customWidth="1"/>
    <col min="20" max="20" width="13.83203125" bestFit="1" customWidth="1"/>
    <col min="21" max="21" width="16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0" t="s">
        <v>5</v>
      </c>
      <c r="G1" s="10"/>
      <c r="H1" s="10"/>
      <c r="I1" s="10"/>
      <c r="J1" s="10"/>
      <c r="K1" s="11"/>
      <c r="L1" s="1" t="s">
        <v>6</v>
      </c>
      <c r="M1" s="10" t="s">
        <v>7</v>
      </c>
      <c r="N1" s="10"/>
      <c r="O1" s="10"/>
      <c r="P1" s="10"/>
      <c r="Q1" s="10"/>
      <c r="R1" s="11"/>
      <c r="S1" s="1" t="s">
        <v>6</v>
      </c>
      <c r="T1" s="10" t="s">
        <v>6</v>
      </c>
      <c r="U1" s="10"/>
      <c r="V1" s="12" t="s">
        <v>8</v>
      </c>
      <c r="W1" s="12"/>
      <c r="X1" s="12"/>
      <c r="Y1" s="12"/>
      <c r="Z1" s="12"/>
    </row>
    <row r="2" spans="1:26" x14ac:dyDescent="0.2">
      <c r="F2" s="1" t="s">
        <v>9</v>
      </c>
      <c r="G2" s="1" t="s">
        <v>10</v>
      </c>
      <c r="H2" s="1" t="s">
        <v>11</v>
      </c>
      <c r="I2" s="1" t="s">
        <v>105</v>
      </c>
      <c r="J2" s="1" t="s">
        <v>14</v>
      </c>
      <c r="K2" s="1" t="s">
        <v>15</v>
      </c>
      <c r="L2" s="1"/>
      <c r="M2" s="1" t="s">
        <v>9</v>
      </c>
      <c r="N2" s="1" t="s">
        <v>10</v>
      </c>
      <c r="O2" s="1" t="s">
        <v>11</v>
      </c>
      <c r="P2" s="1" t="s">
        <v>105</v>
      </c>
      <c r="Q2" s="1" t="s">
        <v>14</v>
      </c>
      <c r="R2" s="1" t="s">
        <v>15</v>
      </c>
      <c r="S2" s="1"/>
      <c r="T2" s="1" t="s">
        <v>16</v>
      </c>
      <c r="U2" s="1" t="s">
        <v>17</v>
      </c>
      <c r="V2" s="1" t="s">
        <v>9</v>
      </c>
      <c r="W2" s="1" t="s">
        <v>10</v>
      </c>
      <c r="X2" s="1" t="s">
        <v>11</v>
      </c>
      <c r="Y2" s="1" t="s">
        <v>105</v>
      </c>
      <c r="Z2" s="1" t="s">
        <v>14</v>
      </c>
    </row>
    <row r="3" spans="1:26" x14ac:dyDescent="0.2">
      <c r="A3" t="s">
        <v>98</v>
      </c>
      <c r="B3" t="s">
        <v>99</v>
      </c>
      <c r="C3" t="s">
        <v>24</v>
      </c>
      <c r="D3" t="s">
        <v>100</v>
      </c>
      <c r="E3" t="s">
        <v>100</v>
      </c>
      <c r="F3">
        <v>3</v>
      </c>
      <c r="G3">
        <v>17</v>
      </c>
      <c r="H3">
        <v>5</v>
      </c>
      <c r="I3">
        <v>15</v>
      </c>
      <c r="J3">
        <v>3</v>
      </c>
      <c r="K3">
        <f t="shared" ref="K3:K34" si="0">SUM(F3:J3)</f>
        <v>43</v>
      </c>
      <c r="L3" s="1" t="str">
        <f t="shared" ref="L3:L34" si="1">IF(MAX(F3:J3)&gt;K3/2, INDEX($F$2:$J$2,MATCH(MAX(F3:J3),F3:J3,0)), "NOC")</f>
        <v>NOC</v>
      </c>
      <c r="M3">
        <v>11</v>
      </c>
      <c r="N3">
        <v>9</v>
      </c>
      <c r="O3">
        <v>4</v>
      </c>
      <c r="P3">
        <v>19</v>
      </c>
      <c r="Q3">
        <v>2</v>
      </c>
      <c r="R3">
        <f>SUM(M3:Q3)</f>
        <v>45</v>
      </c>
      <c r="S3" s="1" t="str">
        <f t="shared" ref="S3:S34" si="2">IF(MAX(M3:Q3)&gt;R3/2, INDEX($M$2:$Q$2,MATCH(MAX(M3:Q3),M3:Q3,0)), "NOC")</f>
        <v>NOC</v>
      </c>
      <c r="T3" s="2" t="str">
        <f t="shared" ref="T3:T34" si="3">IF(L3=S3,"No change",L3&amp;" loss to "&amp;S3)</f>
        <v>No change</v>
      </c>
      <c r="U3" t="str">
        <f t="shared" ref="U3:U34" si="4">IF(S3=L3,"No change",S3&amp;" gain from "&amp;L3)</f>
        <v>No change</v>
      </c>
      <c r="V3" s="3">
        <f>M3-F3</f>
        <v>8</v>
      </c>
      <c r="W3" s="3">
        <f t="shared" ref="W3:Z18" si="5">N3-G3</f>
        <v>-8</v>
      </c>
      <c r="X3" s="3">
        <f t="shared" si="5"/>
        <v>-1</v>
      </c>
      <c r="Y3" s="3">
        <f t="shared" si="5"/>
        <v>4</v>
      </c>
      <c r="Z3" s="3">
        <f t="shared" si="5"/>
        <v>-1</v>
      </c>
    </row>
    <row r="4" spans="1:26" x14ac:dyDescent="0.2">
      <c r="A4" t="s">
        <v>101</v>
      </c>
      <c r="B4" t="s">
        <v>102</v>
      </c>
      <c r="C4" t="s">
        <v>24</v>
      </c>
      <c r="D4" t="s">
        <v>100</v>
      </c>
      <c r="E4" t="s">
        <v>100</v>
      </c>
      <c r="F4">
        <v>14</v>
      </c>
      <c r="G4">
        <v>2</v>
      </c>
      <c r="H4">
        <v>12</v>
      </c>
      <c r="I4">
        <v>28</v>
      </c>
      <c r="J4">
        <v>12</v>
      </c>
      <c r="K4">
        <f t="shared" si="0"/>
        <v>68</v>
      </c>
      <c r="L4" s="1" t="str">
        <f t="shared" si="1"/>
        <v>NOC</v>
      </c>
      <c r="M4">
        <v>23</v>
      </c>
      <c r="N4">
        <v>1</v>
      </c>
      <c r="O4">
        <v>14</v>
      </c>
      <c r="P4">
        <v>21</v>
      </c>
      <c r="Q4">
        <v>11</v>
      </c>
      <c r="R4">
        <f t="shared" ref="R4:R34" si="6">SUM(M4:Q4)</f>
        <v>70</v>
      </c>
      <c r="S4" s="1" t="str">
        <f t="shared" si="2"/>
        <v>NOC</v>
      </c>
      <c r="T4" s="2" t="str">
        <f t="shared" si="3"/>
        <v>No change</v>
      </c>
      <c r="U4" t="str">
        <f t="shared" si="4"/>
        <v>No change</v>
      </c>
      <c r="V4" s="3">
        <f t="shared" ref="V4:Z34" si="7">M4-F4</f>
        <v>9</v>
      </c>
      <c r="W4" s="3">
        <f t="shared" si="5"/>
        <v>-1</v>
      </c>
      <c r="X4" s="3">
        <f t="shared" si="5"/>
        <v>2</v>
      </c>
      <c r="Y4" s="3">
        <f t="shared" si="5"/>
        <v>-7</v>
      </c>
      <c r="Z4" s="3">
        <f t="shared" si="5"/>
        <v>-1</v>
      </c>
    </row>
    <row r="5" spans="1:26" x14ac:dyDescent="0.2">
      <c r="A5" t="s">
        <v>103</v>
      </c>
      <c r="B5" t="s">
        <v>104</v>
      </c>
      <c r="C5" t="s">
        <v>24</v>
      </c>
      <c r="D5" t="s">
        <v>100</v>
      </c>
      <c r="E5" t="s">
        <v>100</v>
      </c>
      <c r="F5">
        <v>4</v>
      </c>
      <c r="G5">
        <v>1</v>
      </c>
      <c r="H5">
        <v>1</v>
      </c>
      <c r="I5">
        <v>15</v>
      </c>
      <c r="J5">
        <v>8</v>
      </c>
      <c r="K5">
        <f t="shared" si="0"/>
        <v>29</v>
      </c>
      <c r="L5" s="1" t="str">
        <f t="shared" si="1"/>
        <v>SNP</v>
      </c>
      <c r="M5">
        <v>8</v>
      </c>
      <c r="N5">
        <v>0</v>
      </c>
      <c r="O5">
        <v>2</v>
      </c>
      <c r="P5">
        <v>9</v>
      </c>
      <c r="Q5">
        <v>9</v>
      </c>
      <c r="R5">
        <f t="shared" si="6"/>
        <v>28</v>
      </c>
      <c r="S5" s="1" t="str">
        <f t="shared" si="2"/>
        <v>NOC</v>
      </c>
      <c r="T5" s="2" t="str">
        <f t="shared" si="3"/>
        <v>SNP loss to NOC</v>
      </c>
      <c r="U5" t="str">
        <f t="shared" si="4"/>
        <v>NOC gain from SNP</v>
      </c>
      <c r="V5" s="3">
        <f t="shared" si="7"/>
        <v>4</v>
      </c>
      <c r="W5" s="3">
        <f t="shared" si="5"/>
        <v>-1</v>
      </c>
      <c r="X5" s="3">
        <f t="shared" si="5"/>
        <v>1</v>
      </c>
      <c r="Y5" s="3">
        <f t="shared" si="5"/>
        <v>-6</v>
      </c>
      <c r="Z5" s="3">
        <f t="shared" si="5"/>
        <v>1</v>
      </c>
    </row>
    <row r="6" spans="1:26" x14ac:dyDescent="0.2">
      <c r="A6" s="8" t="s">
        <v>106</v>
      </c>
      <c r="B6" s="8" t="s">
        <v>107</v>
      </c>
      <c r="D6" t="s">
        <v>100</v>
      </c>
      <c r="E6" t="s">
        <v>100</v>
      </c>
      <c r="F6">
        <v>4</v>
      </c>
      <c r="G6">
        <v>0</v>
      </c>
      <c r="H6">
        <v>4</v>
      </c>
      <c r="I6">
        <v>13</v>
      </c>
      <c r="J6">
        <v>15</v>
      </c>
      <c r="K6">
        <f t="shared" si="0"/>
        <v>36</v>
      </c>
      <c r="L6" s="1" t="str">
        <f t="shared" si="1"/>
        <v>NOC</v>
      </c>
      <c r="M6">
        <v>9</v>
      </c>
      <c r="N6">
        <v>0</v>
      </c>
      <c r="O6">
        <v>6</v>
      </c>
      <c r="P6">
        <v>11</v>
      </c>
      <c r="Q6">
        <v>10</v>
      </c>
      <c r="R6">
        <f t="shared" si="6"/>
        <v>36</v>
      </c>
      <c r="S6" s="1" t="str">
        <f t="shared" si="2"/>
        <v>NOC</v>
      </c>
      <c r="T6" s="2" t="str">
        <f t="shared" si="3"/>
        <v>No change</v>
      </c>
      <c r="U6" t="str">
        <f t="shared" si="4"/>
        <v>No change</v>
      </c>
      <c r="V6" s="3">
        <f t="shared" si="7"/>
        <v>5</v>
      </c>
      <c r="W6" s="3">
        <f t="shared" si="5"/>
        <v>0</v>
      </c>
      <c r="X6" s="3">
        <f t="shared" si="5"/>
        <v>2</v>
      </c>
      <c r="Y6" s="3">
        <f t="shared" si="5"/>
        <v>-2</v>
      </c>
      <c r="Z6" s="3">
        <f t="shared" si="5"/>
        <v>-5</v>
      </c>
    </row>
    <row r="7" spans="1:26" x14ac:dyDescent="0.2">
      <c r="A7" s="8" t="s">
        <v>108</v>
      </c>
      <c r="B7" s="8" t="s">
        <v>109</v>
      </c>
      <c r="D7" t="s">
        <v>100</v>
      </c>
      <c r="E7" t="s">
        <v>100</v>
      </c>
      <c r="F7">
        <v>1</v>
      </c>
      <c r="G7">
        <v>8</v>
      </c>
      <c r="H7">
        <v>0</v>
      </c>
      <c r="I7">
        <v>8</v>
      </c>
      <c r="J7">
        <v>1</v>
      </c>
      <c r="K7">
        <f t="shared" si="0"/>
        <v>18</v>
      </c>
      <c r="L7" s="1" t="str">
        <f t="shared" si="1"/>
        <v>NOC</v>
      </c>
      <c r="M7">
        <v>5</v>
      </c>
      <c r="N7">
        <v>5</v>
      </c>
      <c r="O7">
        <v>0</v>
      </c>
      <c r="P7">
        <v>8</v>
      </c>
      <c r="Q7">
        <v>0</v>
      </c>
      <c r="R7">
        <f t="shared" si="6"/>
        <v>18</v>
      </c>
      <c r="S7" s="1" t="str">
        <f t="shared" si="2"/>
        <v>NOC</v>
      </c>
      <c r="T7" s="2" t="str">
        <f t="shared" si="3"/>
        <v>No change</v>
      </c>
      <c r="U7" t="str">
        <f t="shared" si="4"/>
        <v>No change</v>
      </c>
      <c r="V7" s="3">
        <f t="shared" si="7"/>
        <v>4</v>
      </c>
      <c r="W7" s="3">
        <f t="shared" si="5"/>
        <v>-3</v>
      </c>
      <c r="X7" s="3">
        <f t="shared" si="5"/>
        <v>0</v>
      </c>
      <c r="Y7" s="3">
        <f t="shared" si="5"/>
        <v>0</v>
      </c>
      <c r="Z7" s="3">
        <f t="shared" si="5"/>
        <v>-1</v>
      </c>
    </row>
    <row r="8" spans="1:26" x14ac:dyDescent="0.2">
      <c r="A8" s="8" t="s">
        <v>110</v>
      </c>
      <c r="B8" s="8" t="s">
        <v>111</v>
      </c>
      <c r="D8" t="s">
        <v>100</v>
      </c>
      <c r="E8" t="s">
        <v>100</v>
      </c>
      <c r="F8">
        <v>0</v>
      </c>
      <c r="G8">
        <v>3</v>
      </c>
      <c r="H8">
        <v>0</v>
      </c>
      <c r="I8">
        <v>6</v>
      </c>
      <c r="J8">
        <v>22</v>
      </c>
      <c r="K8">
        <f t="shared" si="0"/>
        <v>31</v>
      </c>
      <c r="L8" s="1" t="str">
        <f t="shared" si="1"/>
        <v>Others</v>
      </c>
      <c r="M8">
        <v>1</v>
      </c>
      <c r="N8">
        <v>0</v>
      </c>
      <c r="O8">
        <v>0</v>
      </c>
      <c r="P8">
        <v>7</v>
      </c>
      <c r="Q8">
        <v>23</v>
      </c>
      <c r="R8">
        <f t="shared" si="6"/>
        <v>31</v>
      </c>
      <c r="S8" s="1" t="str">
        <f t="shared" si="2"/>
        <v>Others</v>
      </c>
      <c r="T8" s="2" t="str">
        <f t="shared" si="3"/>
        <v>No change</v>
      </c>
      <c r="U8" t="str">
        <f t="shared" si="4"/>
        <v>No change</v>
      </c>
      <c r="V8" s="3">
        <f t="shared" si="7"/>
        <v>1</v>
      </c>
      <c r="W8" s="3">
        <f t="shared" si="5"/>
        <v>-3</v>
      </c>
      <c r="X8" s="3">
        <f t="shared" si="5"/>
        <v>0</v>
      </c>
      <c r="Y8" s="3">
        <f t="shared" si="5"/>
        <v>1</v>
      </c>
      <c r="Z8" s="3">
        <f t="shared" si="5"/>
        <v>1</v>
      </c>
    </row>
    <row r="9" spans="1:26" x14ac:dyDescent="0.2">
      <c r="A9" s="8" t="s">
        <v>112</v>
      </c>
      <c r="B9" s="8" t="s">
        <v>113</v>
      </c>
      <c r="C9" t="s">
        <v>24</v>
      </c>
      <c r="D9" t="s">
        <v>100</v>
      </c>
      <c r="E9" t="s">
        <v>100</v>
      </c>
      <c r="F9">
        <v>14</v>
      </c>
      <c r="G9">
        <v>15</v>
      </c>
      <c r="H9">
        <v>1</v>
      </c>
      <c r="I9">
        <v>10</v>
      </c>
      <c r="J9">
        <v>7</v>
      </c>
      <c r="K9">
        <f t="shared" si="0"/>
        <v>47</v>
      </c>
      <c r="L9" s="1" t="str">
        <f t="shared" si="1"/>
        <v>NOC</v>
      </c>
      <c r="M9">
        <v>16</v>
      </c>
      <c r="N9">
        <v>11</v>
      </c>
      <c r="O9">
        <v>1</v>
      </c>
      <c r="P9">
        <v>11</v>
      </c>
      <c r="Q9">
        <v>4</v>
      </c>
      <c r="R9">
        <f t="shared" si="6"/>
        <v>43</v>
      </c>
      <c r="S9" s="1" t="str">
        <f t="shared" si="2"/>
        <v>NOC</v>
      </c>
      <c r="T9" s="2" t="str">
        <f t="shared" si="3"/>
        <v>No change</v>
      </c>
      <c r="U9" t="str">
        <f t="shared" si="4"/>
        <v>No change</v>
      </c>
      <c r="V9" s="3">
        <f t="shared" si="7"/>
        <v>2</v>
      </c>
      <c r="W9" s="3">
        <f t="shared" si="5"/>
        <v>-4</v>
      </c>
      <c r="X9" s="3">
        <f t="shared" si="5"/>
        <v>0</v>
      </c>
      <c r="Y9" s="3">
        <f t="shared" si="5"/>
        <v>1</v>
      </c>
      <c r="Z9" s="3">
        <f t="shared" si="5"/>
        <v>-3</v>
      </c>
    </row>
    <row r="10" spans="1:26" x14ac:dyDescent="0.2">
      <c r="A10" t="s">
        <v>114</v>
      </c>
      <c r="B10" t="s">
        <v>115</v>
      </c>
      <c r="D10" t="s">
        <v>100</v>
      </c>
      <c r="E10" t="s">
        <v>100</v>
      </c>
      <c r="F10">
        <v>1</v>
      </c>
      <c r="G10">
        <v>10</v>
      </c>
      <c r="H10">
        <v>1</v>
      </c>
      <c r="I10">
        <v>16</v>
      </c>
      <c r="J10">
        <v>1</v>
      </c>
      <c r="K10">
        <f t="shared" si="0"/>
        <v>29</v>
      </c>
      <c r="L10" s="1" t="str">
        <f t="shared" si="1"/>
        <v>SNP</v>
      </c>
      <c r="M10">
        <v>3</v>
      </c>
      <c r="N10">
        <v>9</v>
      </c>
      <c r="O10">
        <v>2</v>
      </c>
      <c r="P10">
        <v>14</v>
      </c>
      <c r="Q10">
        <v>1</v>
      </c>
      <c r="R10">
        <f t="shared" si="6"/>
        <v>29</v>
      </c>
      <c r="S10" s="1" t="str">
        <f t="shared" si="2"/>
        <v>NOC</v>
      </c>
      <c r="T10" s="2" t="str">
        <f t="shared" si="3"/>
        <v>SNP loss to NOC</v>
      </c>
      <c r="U10" t="str">
        <f t="shared" si="4"/>
        <v>NOC gain from SNP</v>
      </c>
      <c r="V10" s="3">
        <f t="shared" si="7"/>
        <v>2</v>
      </c>
      <c r="W10" s="3">
        <f t="shared" si="5"/>
        <v>-1</v>
      </c>
      <c r="X10" s="3">
        <f t="shared" si="5"/>
        <v>1</v>
      </c>
      <c r="Y10" s="3">
        <f t="shared" si="5"/>
        <v>-2</v>
      </c>
      <c r="Z10" s="3">
        <f t="shared" si="5"/>
        <v>0</v>
      </c>
    </row>
    <row r="11" spans="1:26" x14ac:dyDescent="0.2">
      <c r="A11" t="s">
        <v>116</v>
      </c>
      <c r="B11" t="s">
        <v>117</v>
      </c>
      <c r="C11" t="s">
        <v>24</v>
      </c>
      <c r="D11" t="s">
        <v>100</v>
      </c>
      <c r="E11" t="s">
        <v>100</v>
      </c>
      <c r="F11">
        <v>2</v>
      </c>
      <c r="G11">
        <v>14</v>
      </c>
      <c r="H11">
        <v>0</v>
      </c>
      <c r="I11">
        <v>15</v>
      </c>
      <c r="J11">
        <v>1</v>
      </c>
      <c r="K11">
        <f t="shared" si="0"/>
        <v>32</v>
      </c>
      <c r="L11" s="1" t="str">
        <f t="shared" si="1"/>
        <v>NOC</v>
      </c>
      <c r="M11">
        <v>6</v>
      </c>
      <c r="N11">
        <v>9</v>
      </c>
      <c r="O11">
        <v>0</v>
      </c>
      <c r="P11">
        <v>14</v>
      </c>
      <c r="Q11">
        <v>3</v>
      </c>
      <c r="R11">
        <f t="shared" si="6"/>
        <v>32</v>
      </c>
      <c r="S11" s="1" t="str">
        <f t="shared" si="2"/>
        <v>NOC</v>
      </c>
      <c r="T11" s="2" t="str">
        <f t="shared" si="3"/>
        <v>No change</v>
      </c>
      <c r="U11" t="str">
        <f t="shared" si="4"/>
        <v>No change</v>
      </c>
      <c r="V11" s="3">
        <f t="shared" si="7"/>
        <v>4</v>
      </c>
      <c r="W11" s="3">
        <f t="shared" si="5"/>
        <v>-5</v>
      </c>
      <c r="X11" s="3">
        <f t="shared" si="5"/>
        <v>0</v>
      </c>
      <c r="Y11" s="3">
        <f t="shared" si="5"/>
        <v>-1</v>
      </c>
      <c r="Z11" s="3">
        <f t="shared" si="5"/>
        <v>2</v>
      </c>
    </row>
    <row r="12" spans="1:26" x14ac:dyDescent="0.2">
      <c r="A12" t="s">
        <v>118</v>
      </c>
      <c r="B12" t="s">
        <v>119</v>
      </c>
      <c r="C12" t="s">
        <v>24</v>
      </c>
      <c r="D12" t="s">
        <v>100</v>
      </c>
      <c r="E12" t="s">
        <v>100</v>
      </c>
      <c r="F12">
        <v>2</v>
      </c>
      <c r="G12">
        <v>8</v>
      </c>
      <c r="H12">
        <v>3</v>
      </c>
      <c r="I12">
        <v>8</v>
      </c>
      <c r="J12">
        <v>3</v>
      </c>
      <c r="K12">
        <f t="shared" si="0"/>
        <v>24</v>
      </c>
      <c r="L12" s="1" t="str">
        <f t="shared" si="1"/>
        <v>NOC</v>
      </c>
      <c r="M12">
        <v>6</v>
      </c>
      <c r="N12">
        <v>2</v>
      </c>
      <c r="O12">
        <v>6</v>
      </c>
      <c r="P12">
        <v>7</v>
      </c>
      <c r="Q12">
        <v>1</v>
      </c>
      <c r="R12">
        <f t="shared" si="6"/>
        <v>22</v>
      </c>
      <c r="S12" s="1" t="str">
        <f t="shared" si="2"/>
        <v>NOC</v>
      </c>
      <c r="T12" s="2" t="str">
        <f t="shared" si="3"/>
        <v>No change</v>
      </c>
      <c r="U12" t="str">
        <f t="shared" si="4"/>
        <v>No change</v>
      </c>
      <c r="V12" s="3">
        <f t="shared" si="7"/>
        <v>4</v>
      </c>
      <c r="W12" s="3">
        <f t="shared" si="5"/>
        <v>-6</v>
      </c>
      <c r="X12" s="3">
        <f t="shared" si="5"/>
        <v>3</v>
      </c>
      <c r="Y12" s="3">
        <f t="shared" si="5"/>
        <v>-1</v>
      </c>
      <c r="Z12" s="3">
        <f t="shared" si="5"/>
        <v>-2</v>
      </c>
    </row>
    <row r="13" spans="1:26" x14ac:dyDescent="0.2">
      <c r="A13" t="s">
        <v>120</v>
      </c>
      <c r="B13" t="s">
        <v>121</v>
      </c>
      <c r="C13" t="s">
        <v>24</v>
      </c>
      <c r="D13" t="s">
        <v>100</v>
      </c>
      <c r="E13" t="s">
        <v>100</v>
      </c>
      <c r="F13">
        <v>3</v>
      </c>
      <c r="G13">
        <v>10</v>
      </c>
      <c r="H13">
        <v>0</v>
      </c>
      <c r="I13">
        <v>9</v>
      </c>
      <c r="J13">
        <v>1</v>
      </c>
      <c r="K13">
        <f t="shared" si="0"/>
        <v>23</v>
      </c>
      <c r="L13" s="1" t="str">
        <f t="shared" si="1"/>
        <v>NOC</v>
      </c>
      <c r="M13">
        <v>7</v>
      </c>
      <c r="N13">
        <v>9</v>
      </c>
      <c r="O13">
        <v>0</v>
      </c>
      <c r="P13">
        <v>6</v>
      </c>
      <c r="Q13">
        <v>0</v>
      </c>
      <c r="R13">
        <f t="shared" si="6"/>
        <v>22</v>
      </c>
      <c r="S13" s="1" t="str">
        <f t="shared" si="2"/>
        <v>NOC</v>
      </c>
      <c r="T13" s="2" t="str">
        <f t="shared" si="3"/>
        <v>No change</v>
      </c>
      <c r="U13" t="str">
        <f t="shared" si="4"/>
        <v>No change</v>
      </c>
      <c r="V13" s="3">
        <f t="shared" si="7"/>
        <v>4</v>
      </c>
      <c r="W13" s="3">
        <f t="shared" si="5"/>
        <v>-1</v>
      </c>
      <c r="X13" s="3">
        <f t="shared" si="5"/>
        <v>0</v>
      </c>
      <c r="Y13" s="3">
        <f t="shared" si="5"/>
        <v>-3</v>
      </c>
      <c r="Z13" s="3">
        <f t="shared" si="5"/>
        <v>-1</v>
      </c>
    </row>
    <row r="14" spans="1:26" x14ac:dyDescent="0.2">
      <c r="A14" t="s">
        <v>122</v>
      </c>
      <c r="B14" t="s">
        <v>123</v>
      </c>
      <c r="C14" t="s">
        <v>24</v>
      </c>
      <c r="D14" t="s">
        <v>100</v>
      </c>
      <c r="E14" t="s">
        <v>100</v>
      </c>
      <c r="F14">
        <v>6</v>
      </c>
      <c r="G14">
        <v>8</v>
      </c>
      <c r="H14">
        <v>0</v>
      </c>
      <c r="I14">
        <v>4</v>
      </c>
      <c r="J14">
        <v>2</v>
      </c>
      <c r="K14">
        <f t="shared" si="0"/>
        <v>20</v>
      </c>
      <c r="L14" s="1" t="str">
        <f t="shared" si="1"/>
        <v>NOC</v>
      </c>
      <c r="M14">
        <v>7</v>
      </c>
      <c r="N14">
        <v>4</v>
      </c>
      <c r="O14">
        <v>0</v>
      </c>
      <c r="P14">
        <v>5</v>
      </c>
      <c r="Q14">
        <v>2</v>
      </c>
      <c r="R14">
        <f t="shared" si="6"/>
        <v>18</v>
      </c>
      <c r="S14" s="1" t="str">
        <f t="shared" si="2"/>
        <v>NOC</v>
      </c>
      <c r="T14" s="2" t="str">
        <f t="shared" si="3"/>
        <v>No change</v>
      </c>
      <c r="U14" t="str">
        <f t="shared" si="4"/>
        <v>No change</v>
      </c>
      <c r="V14" s="3">
        <f t="shared" si="7"/>
        <v>1</v>
      </c>
      <c r="W14" s="3">
        <f t="shared" si="5"/>
        <v>-4</v>
      </c>
      <c r="X14" s="3">
        <f t="shared" si="5"/>
        <v>0</v>
      </c>
      <c r="Y14" s="3">
        <f t="shared" si="5"/>
        <v>1</v>
      </c>
      <c r="Z14" s="3">
        <f t="shared" si="5"/>
        <v>0</v>
      </c>
    </row>
    <row r="15" spans="1:26" x14ac:dyDescent="0.2">
      <c r="A15" t="s">
        <v>124</v>
      </c>
      <c r="B15" t="s">
        <v>125</v>
      </c>
      <c r="C15" t="s">
        <v>24</v>
      </c>
      <c r="D15" t="s">
        <v>100</v>
      </c>
      <c r="E15" t="s">
        <v>100</v>
      </c>
      <c r="F15">
        <v>11</v>
      </c>
      <c r="G15">
        <v>20</v>
      </c>
      <c r="H15">
        <v>3</v>
      </c>
      <c r="I15">
        <v>18</v>
      </c>
      <c r="J15">
        <v>6</v>
      </c>
      <c r="K15">
        <f t="shared" si="0"/>
        <v>58</v>
      </c>
      <c r="L15" s="1" t="str">
        <f t="shared" si="1"/>
        <v>NOC</v>
      </c>
      <c r="M15">
        <v>18</v>
      </c>
      <c r="N15">
        <v>12</v>
      </c>
      <c r="O15">
        <v>6</v>
      </c>
      <c r="P15">
        <v>19</v>
      </c>
      <c r="Q15">
        <v>8</v>
      </c>
      <c r="R15">
        <f t="shared" si="6"/>
        <v>63</v>
      </c>
      <c r="S15" s="1" t="str">
        <f t="shared" si="2"/>
        <v>NOC</v>
      </c>
      <c r="T15" s="2" t="str">
        <f t="shared" si="3"/>
        <v>No change</v>
      </c>
      <c r="U15" t="str">
        <f t="shared" si="4"/>
        <v>No change</v>
      </c>
      <c r="V15" s="3">
        <f t="shared" si="7"/>
        <v>7</v>
      </c>
      <c r="W15" s="3">
        <f t="shared" si="5"/>
        <v>-8</v>
      </c>
      <c r="X15" s="3">
        <f t="shared" si="5"/>
        <v>3</v>
      </c>
      <c r="Y15" s="3">
        <f t="shared" si="5"/>
        <v>1</v>
      </c>
      <c r="Z15" s="3">
        <f t="shared" si="5"/>
        <v>2</v>
      </c>
    </row>
    <row r="16" spans="1:26" x14ac:dyDescent="0.2">
      <c r="A16" t="s">
        <v>126</v>
      </c>
      <c r="B16" t="s">
        <v>127</v>
      </c>
      <c r="C16" t="s">
        <v>24</v>
      </c>
      <c r="D16" t="s">
        <v>100</v>
      </c>
      <c r="E16" t="s">
        <v>100</v>
      </c>
      <c r="F16">
        <v>2</v>
      </c>
      <c r="G16">
        <v>14</v>
      </c>
      <c r="H16">
        <v>0</v>
      </c>
      <c r="I16">
        <v>13</v>
      </c>
      <c r="J16">
        <v>3</v>
      </c>
      <c r="K16">
        <f t="shared" si="0"/>
        <v>32</v>
      </c>
      <c r="L16" s="1" t="str">
        <f t="shared" si="1"/>
        <v>NOC</v>
      </c>
      <c r="M16">
        <v>7</v>
      </c>
      <c r="N16">
        <v>9</v>
      </c>
      <c r="O16">
        <v>0</v>
      </c>
      <c r="P16">
        <v>12</v>
      </c>
      <c r="Q16">
        <v>2</v>
      </c>
      <c r="R16">
        <f t="shared" si="6"/>
        <v>30</v>
      </c>
      <c r="S16" s="1" t="str">
        <f t="shared" si="2"/>
        <v>NOC</v>
      </c>
      <c r="T16" s="2" t="str">
        <f t="shared" si="3"/>
        <v>No change</v>
      </c>
      <c r="U16" t="str">
        <f t="shared" si="4"/>
        <v>No change</v>
      </c>
      <c r="V16" s="3">
        <f t="shared" si="7"/>
        <v>5</v>
      </c>
      <c r="W16" s="3">
        <f t="shared" si="5"/>
        <v>-5</v>
      </c>
      <c r="X16" s="3">
        <f t="shared" si="5"/>
        <v>0</v>
      </c>
      <c r="Y16" s="3">
        <f t="shared" si="5"/>
        <v>-1</v>
      </c>
      <c r="Z16" s="3">
        <f t="shared" si="5"/>
        <v>-1</v>
      </c>
    </row>
    <row r="17" spans="1:26" x14ac:dyDescent="0.2">
      <c r="A17" t="s">
        <v>128</v>
      </c>
      <c r="B17" t="s">
        <v>129</v>
      </c>
      <c r="C17" t="s">
        <v>24</v>
      </c>
      <c r="D17" t="s">
        <v>100</v>
      </c>
      <c r="E17" t="s">
        <v>100</v>
      </c>
      <c r="F17">
        <v>3</v>
      </c>
      <c r="G17">
        <v>35</v>
      </c>
      <c r="H17">
        <v>10</v>
      </c>
      <c r="I17">
        <v>26</v>
      </c>
      <c r="J17">
        <v>4</v>
      </c>
      <c r="K17">
        <f t="shared" si="0"/>
        <v>78</v>
      </c>
      <c r="L17" s="1" t="str">
        <f t="shared" si="1"/>
        <v>NOC</v>
      </c>
      <c r="M17">
        <v>15</v>
      </c>
      <c r="N17">
        <v>24</v>
      </c>
      <c r="O17">
        <v>7</v>
      </c>
      <c r="P17">
        <v>29</v>
      </c>
      <c r="Q17">
        <v>0</v>
      </c>
      <c r="R17">
        <f t="shared" si="6"/>
        <v>75</v>
      </c>
      <c r="S17" s="1" t="str">
        <f t="shared" si="2"/>
        <v>NOC</v>
      </c>
      <c r="T17" s="2" t="str">
        <f t="shared" si="3"/>
        <v>No change</v>
      </c>
      <c r="U17" t="str">
        <f t="shared" si="4"/>
        <v>No change</v>
      </c>
      <c r="V17" s="3">
        <f t="shared" si="7"/>
        <v>12</v>
      </c>
      <c r="W17" s="3">
        <f t="shared" si="5"/>
        <v>-11</v>
      </c>
      <c r="X17" s="3">
        <f t="shared" si="5"/>
        <v>-3</v>
      </c>
      <c r="Y17" s="3">
        <f t="shared" si="5"/>
        <v>3</v>
      </c>
      <c r="Z17" s="3">
        <f t="shared" si="5"/>
        <v>-4</v>
      </c>
    </row>
    <row r="18" spans="1:26" x14ac:dyDescent="0.2">
      <c r="A18" t="s">
        <v>130</v>
      </c>
      <c r="B18" t="s">
        <v>131</v>
      </c>
      <c r="C18" t="s">
        <v>24</v>
      </c>
      <c r="D18" t="s">
        <v>100</v>
      </c>
      <c r="E18" t="s">
        <v>100</v>
      </c>
      <c r="F18">
        <v>1</v>
      </c>
      <c r="G18">
        <v>44</v>
      </c>
      <c r="H18">
        <v>1</v>
      </c>
      <c r="I18">
        <v>27</v>
      </c>
      <c r="J18">
        <v>6</v>
      </c>
      <c r="K18">
        <f t="shared" si="0"/>
        <v>79</v>
      </c>
      <c r="L18" s="1" t="str">
        <f t="shared" si="1"/>
        <v>LAB</v>
      </c>
      <c r="M18">
        <v>8</v>
      </c>
      <c r="N18">
        <v>31</v>
      </c>
      <c r="O18">
        <v>0</v>
      </c>
      <c r="P18">
        <v>39</v>
      </c>
      <c r="Q18">
        <v>7</v>
      </c>
      <c r="R18">
        <f t="shared" si="6"/>
        <v>85</v>
      </c>
      <c r="S18" s="1" t="str">
        <f t="shared" si="2"/>
        <v>NOC</v>
      </c>
      <c r="T18" s="2" t="str">
        <f t="shared" si="3"/>
        <v>LAB loss to NOC</v>
      </c>
      <c r="U18" t="str">
        <f t="shared" si="4"/>
        <v>NOC gain from LAB</v>
      </c>
      <c r="V18" s="3">
        <f t="shared" si="7"/>
        <v>7</v>
      </c>
      <c r="W18" s="3">
        <f t="shared" si="5"/>
        <v>-13</v>
      </c>
      <c r="X18" s="3">
        <f t="shared" si="5"/>
        <v>-1</v>
      </c>
      <c r="Y18" s="3">
        <f t="shared" si="5"/>
        <v>12</v>
      </c>
      <c r="Z18" s="3">
        <f t="shared" si="5"/>
        <v>1</v>
      </c>
    </row>
    <row r="19" spans="1:26" x14ac:dyDescent="0.2">
      <c r="A19" t="s">
        <v>132</v>
      </c>
      <c r="B19" t="s">
        <v>133</v>
      </c>
      <c r="C19" t="s">
        <v>24</v>
      </c>
      <c r="D19" t="s">
        <v>100</v>
      </c>
      <c r="E19" t="s">
        <v>100</v>
      </c>
      <c r="F19">
        <v>0</v>
      </c>
      <c r="G19">
        <v>8</v>
      </c>
      <c r="H19">
        <v>15</v>
      </c>
      <c r="I19">
        <v>22</v>
      </c>
      <c r="J19">
        <v>35</v>
      </c>
      <c r="K19">
        <f t="shared" si="0"/>
        <v>80</v>
      </c>
      <c r="L19" s="1" t="str">
        <f t="shared" si="1"/>
        <v>NOC</v>
      </c>
      <c r="M19">
        <v>10</v>
      </c>
      <c r="N19">
        <v>3</v>
      </c>
      <c r="O19">
        <v>10</v>
      </c>
      <c r="P19">
        <v>22</v>
      </c>
      <c r="Q19">
        <v>29</v>
      </c>
      <c r="R19">
        <f t="shared" si="6"/>
        <v>74</v>
      </c>
      <c r="S19" s="1" t="str">
        <f t="shared" si="2"/>
        <v>NOC</v>
      </c>
      <c r="T19" s="2" t="str">
        <f t="shared" si="3"/>
        <v>No change</v>
      </c>
      <c r="U19" t="str">
        <f t="shared" si="4"/>
        <v>No change</v>
      </c>
      <c r="V19" s="3">
        <f t="shared" si="7"/>
        <v>10</v>
      </c>
      <c r="W19" s="3">
        <f t="shared" si="7"/>
        <v>-5</v>
      </c>
      <c r="X19" s="3">
        <f t="shared" si="7"/>
        <v>-5</v>
      </c>
      <c r="Y19" s="3">
        <f t="shared" si="7"/>
        <v>0</v>
      </c>
      <c r="Z19" s="3">
        <f t="shared" si="7"/>
        <v>-6</v>
      </c>
    </row>
    <row r="20" spans="1:26" x14ac:dyDescent="0.2">
      <c r="A20" t="s">
        <v>134</v>
      </c>
      <c r="B20" t="s">
        <v>135</v>
      </c>
      <c r="C20" t="s">
        <v>24</v>
      </c>
      <c r="D20" t="s">
        <v>100</v>
      </c>
      <c r="E20" t="s">
        <v>100</v>
      </c>
      <c r="F20">
        <v>1</v>
      </c>
      <c r="G20">
        <v>10</v>
      </c>
      <c r="H20">
        <v>2</v>
      </c>
      <c r="I20">
        <v>6</v>
      </c>
      <c r="J20">
        <v>1</v>
      </c>
      <c r="K20">
        <f t="shared" si="0"/>
        <v>20</v>
      </c>
      <c r="L20" s="1" t="str">
        <f t="shared" si="1"/>
        <v>NOC</v>
      </c>
      <c r="M20">
        <v>2</v>
      </c>
      <c r="N20">
        <v>8</v>
      </c>
      <c r="O20">
        <v>1</v>
      </c>
      <c r="P20">
        <v>7</v>
      </c>
      <c r="Q20">
        <v>4</v>
      </c>
      <c r="R20">
        <f t="shared" si="6"/>
        <v>22</v>
      </c>
      <c r="S20" s="1" t="str">
        <f t="shared" si="2"/>
        <v>NOC</v>
      </c>
      <c r="T20" s="2" t="str">
        <f t="shared" si="3"/>
        <v>No change</v>
      </c>
      <c r="U20" t="str">
        <f t="shared" si="4"/>
        <v>No change</v>
      </c>
      <c r="V20" s="3">
        <f t="shared" si="7"/>
        <v>1</v>
      </c>
      <c r="W20" s="3">
        <f t="shared" si="7"/>
        <v>-2</v>
      </c>
      <c r="X20" s="3">
        <f t="shared" si="7"/>
        <v>-1</v>
      </c>
      <c r="Y20" s="3">
        <f t="shared" si="7"/>
        <v>1</v>
      </c>
      <c r="Z20" s="3">
        <f t="shared" si="7"/>
        <v>3</v>
      </c>
    </row>
    <row r="21" spans="1:26" x14ac:dyDescent="0.2">
      <c r="A21" t="s">
        <v>136</v>
      </c>
      <c r="B21" t="s">
        <v>137</v>
      </c>
      <c r="C21" t="s">
        <v>24</v>
      </c>
      <c r="D21" t="s">
        <v>100</v>
      </c>
      <c r="E21" t="s">
        <v>100</v>
      </c>
      <c r="F21">
        <v>0</v>
      </c>
      <c r="G21">
        <v>8</v>
      </c>
      <c r="H21">
        <v>0</v>
      </c>
      <c r="I21">
        <v>8</v>
      </c>
      <c r="J21">
        <v>2</v>
      </c>
      <c r="K21">
        <f t="shared" si="0"/>
        <v>18</v>
      </c>
      <c r="L21" s="1" t="str">
        <f t="shared" si="1"/>
        <v>NOC</v>
      </c>
      <c r="M21">
        <v>5</v>
      </c>
      <c r="N21">
        <v>7</v>
      </c>
      <c r="O21">
        <v>0</v>
      </c>
      <c r="P21">
        <v>6</v>
      </c>
      <c r="Q21">
        <v>0</v>
      </c>
      <c r="R21">
        <f t="shared" si="6"/>
        <v>18</v>
      </c>
      <c r="S21" s="1" t="str">
        <f t="shared" si="2"/>
        <v>NOC</v>
      </c>
      <c r="T21" s="2" t="str">
        <f t="shared" si="3"/>
        <v>No change</v>
      </c>
      <c r="U21" t="str">
        <f t="shared" si="4"/>
        <v>No change</v>
      </c>
      <c r="V21" s="3">
        <f t="shared" si="7"/>
        <v>5</v>
      </c>
      <c r="W21" s="3">
        <f t="shared" si="7"/>
        <v>-1</v>
      </c>
      <c r="X21" s="3">
        <f t="shared" si="7"/>
        <v>0</v>
      </c>
      <c r="Y21" s="3">
        <f t="shared" si="7"/>
        <v>-2</v>
      </c>
      <c r="Z21" s="3">
        <f t="shared" si="7"/>
        <v>-2</v>
      </c>
    </row>
    <row r="22" spans="1:26" x14ac:dyDescent="0.2">
      <c r="A22" t="s">
        <v>138</v>
      </c>
      <c r="B22" t="s">
        <v>139</v>
      </c>
      <c r="C22" t="s">
        <v>24</v>
      </c>
      <c r="D22" t="s">
        <v>100</v>
      </c>
      <c r="E22" t="s">
        <v>100</v>
      </c>
      <c r="F22">
        <v>3</v>
      </c>
      <c r="G22">
        <v>3</v>
      </c>
      <c r="H22">
        <v>0</v>
      </c>
      <c r="I22">
        <v>10</v>
      </c>
      <c r="J22">
        <v>10</v>
      </c>
      <c r="K22">
        <f t="shared" si="0"/>
        <v>26</v>
      </c>
      <c r="L22" s="1" t="str">
        <f t="shared" si="1"/>
        <v>NOC</v>
      </c>
      <c r="M22">
        <v>8</v>
      </c>
      <c r="N22">
        <v>1</v>
      </c>
      <c r="O22">
        <v>0</v>
      </c>
      <c r="P22">
        <v>9</v>
      </c>
      <c r="Q22">
        <v>8</v>
      </c>
      <c r="R22">
        <f t="shared" si="6"/>
        <v>26</v>
      </c>
      <c r="S22" s="1" t="str">
        <f t="shared" si="2"/>
        <v>NOC</v>
      </c>
      <c r="T22" s="2" t="str">
        <f t="shared" si="3"/>
        <v>No change</v>
      </c>
      <c r="U22" t="str">
        <f t="shared" si="4"/>
        <v>No change</v>
      </c>
      <c r="V22" s="3">
        <f t="shared" si="7"/>
        <v>5</v>
      </c>
      <c r="W22" s="3">
        <f t="shared" si="7"/>
        <v>-2</v>
      </c>
      <c r="X22" s="3">
        <f t="shared" si="7"/>
        <v>0</v>
      </c>
      <c r="Y22" s="3">
        <f t="shared" si="7"/>
        <v>-1</v>
      </c>
      <c r="Z22" s="3">
        <f t="shared" si="7"/>
        <v>-2</v>
      </c>
    </row>
    <row r="23" spans="1:26" x14ac:dyDescent="0.2">
      <c r="A23" t="s">
        <v>140</v>
      </c>
      <c r="B23" t="s">
        <v>141</v>
      </c>
      <c r="C23" t="s">
        <v>24</v>
      </c>
      <c r="D23" t="s">
        <v>100</v>
      </c>
      <c r="E23" t="s">
        <v>100</v>
      </c>
      <c r="F23">
        <v>1</v>
      </c>
      <c r="G23">
        <v>11</v>
      </c>
      <c r="H23">
        <v>0</v>
      </c>
      <c r="I23">
        <v>12</v>
      </c>
      <c r="J23">
        <v>6</v>
      </c>
      <c r="K23">
        <f t="shared" si="0"/>
        <v>30</v>
      </c>
      <c r="L23" s="1" t="str">
        <f t="shared" si="1"/>
        <v>NOC</v>
      </c>
      <c r="M23">
        <v>7</v>
      </c>
      <c r="N23">
        <v>11</v>
      </c>
      <c r="O23">
        <v>0</v>
      </c>
      <c r="P23">
        <v>11</v>
      </c>
      <c r="Q23">
        <v>4</v>
      </c>
      <c r="R23">
        <f t="shared" si="6"/>
        <v>33</v>
      </c>
      <c r="S23" s="1" t="str">
        <f t="shared" si="2"/>
        <v>NOC</v>
      </c>
      <c r="T23" s="2" t="str">
        <f t="shared" si="3"/>
        <v>No change</v>
      </c>
      <c r="U23" t="str">
        <f t="shared" si="4"/>
        <v>No change</v>
      </c>
      <c r="V23" s="3">
        <f t="shared" si="7"/>
        <v>6</v>
      </c>
      <c r="W23" s="3">
        <f t="shared" si="7"/>
        <v>0</v>
      </c>
      <c r="X23" s="3">
        <f t="shared" si="7"/>
        <v>0</v>
      </c>
      <c r="Y23" s="3">
        <f t="shared" si="7"/>
        <v>-1</v>
      </c>
      <c r="Z23" s="3">
        <f t="shared" si="7"/>
        <v>-2</v>
      </c>
    </row>
    <row r="24" spans="1:26" x14ac:dyDescent="0.2">
      <c r="A24" t="s">
        <v>142</v>
      </c>
      <c r="B24" t="s">
        <v>143</v>
      </c>
      <c r="C24" t="s">
        <v>24</v>
      </c>
      <c r="D24" t="s">
        <v>100</v>
      </c>
      <c r="E24" t="s">
        <v>100</v>
      </c>
      <c r="F24">
        <v>0</v>
      </c>
      <c r="G24">
        <v>41</v>
      </c>
      <c r="H24">
        <v>0</v>
      </c>
      <c r="I24">
        <v>26</v>
      </c>
      <c r="J24">
        <v>3</v>
      </c>
      <c r="K24">
        <f t="shared" si="0"/>
        <v>70</v>
      </c>
      <c r="L24" s="1" t="str">
        <f t="shared" si="1"/>
        <v>LAB</v>
      </c>
      <c r="M24">
        <v>10</v>
      </c>
      <c r="N24">
        <v>32</v>
      </c>
      <c r="O24">
        <v>0</v>
      </c>
      <c r="P24">
        <v>33</v>
      </c>
      <c r="Q24">
        <v>2</v>
      </c>
      <c r="R24">
        <f t="shared" si="6"/>
        <v>77</v>
      </c>
      <c r="S24" s="1" t="str">
        <f t="shared" si="2"/>
        <v>NOC</v>
      </c>
      <c r="T24" s="2" t="str">
        <f t="shared" si="3"/>
        <v>LAB loss to NOC</v>
      </c>
      <c r="U24" t="str">
        <f t="shared" si="4"/>
        <v>NOC gain from LAB</v>
      </c>
      <c r="V24" s="3">
        <f t="shared" si="7"/>
        <v>10</v>
      </c>
      <c r="W24" s="3">
        <f t="shared" si="7"/>
        <v>-9</v>
      </c>
      <c r="X24" s="3">
        <f t="shared" si="7"/>
        <v>0</v>
      </c>
      <c r="Y24" s="3">
        <f t="shared" si="7"/>
        <v>7</v>
      </c>
      <c r="Z24" s="3">
        <f t="shared" si="7"/>
        <v>-1</v>
      </c>
    </row>
    <row r="25" spans="1:26" x14ac:dyDescent="0.2">
      <c r="A25" t="s">
        <v>144</v>
      </c>
      <c r="B25" t="s">
        <v>145</v>
      </c>
      <c r="D25" t="s">
        <v>100</v>
      </c>
      <c r="E25" t="s">
        <v>100</v>
      </c>
      <c r="F25">
        <v>0</v>
      </c>
      <c r="G25">
        <v>0</v>
      </c>
      <c r="H25">
        <v>0</v>
      </c>
      <c r="I25">
        <v>0</v>
      </c>
      <c r="J25">
        <v>21</v>
      </c>
      <c r="K25">
        <f t="shared" si="0"/>
        <v>21</v>
      </c>
      <c r="L25" s="1" t="str">
        <f t="shared" si="1"/>
        <v>Others</v>
      </c>
      <c r="M25">
        <v>0</v>
      </c>
      <c r="N25">
        <v>0</v>
      </c>
      <c r="O25">
        <v>0</v>
      </c>
      <c r="P25">
        <v>0</v>
      </c>
      <c r="Q25">
        <v>21</v>
      </c>
      <c r="R25">
        <f t="shared" si="6"/>
        <v>21</v>
      </c>
      <c r="S25" s="1" t="str">
        <f t="shared" si="2"/>
        <v>Others</v>
      </c>
      <c r="T25" s="2" t="str">
        <f t="shared" si="3"/>
        <v>No change</v>
      </c>
      <c r="U25" t="str">
        <f t="shared" si="4"/>
        <v>No change</v>
      </c>
      <c r="V25" s="3">
        <f t="shared" si="7"/>
        <v>0</v>
      </c>
      <c r="W25" s="3">
        <f t="shared" si="7"/>
        <v>0</v>
      </c>
      <c r="X25" s="3">
        <f t="shared" si="7"/>
        <v>0</v>
      </c>
      <c r="Y25" s="3">
        <f t="shared" si="7"/>
        <v>0</v>
      </c>
      <c r="Z25" s="3">
        <f t="shared" si="7"/>
        <v>0</v>
      </c>
    </row>
    <row r="26" spans="1:26" x14ac:dyDescent="0.2">
      <c r="A26" t="s">
        <v>146</v>
      </c>
      <c r="B26" t="s">
        <v>147</v>
      </c>
      <c r="C26" t="s">
        <v>24</v>
      </c>
      <c r="D26" t="s">
        <v>100</v>
      </c>
      <c r="E26" t="s">
        <v>100</v>
      </c>
      <c r="F26">
        <v>10</v>
      </c>
      <c r="G26">
        <v>4</v>
      </c>
      <c r="H26">
        <v>5</v>
      </c>
      <c r="I26">
        <v>18</v>
      </c>
      <c r="J26">
        <v>4</v>
      </c>
      <c r="K26">
        <f t="shared" si="0"/>
        <v>41</v>
      </c>
      <c r="L26" s="1" t="str">
        <f t="shared" si="1"/>
        <v>NOC</v>
      </c>
      <c r="M26">
        <v>17</v>
      </c>
      <c r="N26">
        <v>1</v>
      </c>
      <c r="O26">
        <v>4</v>
      </c>
      <c r="P26">
        <v>15</v>
      </c>
      <c r="Q26">
        <v>3</v>
      </c>
      <c r="R26">
        <f t="shared" si="6"/>
        <v>40</v>
      </c>
      <c r="S26" s="1" t="str">
        <f t="shared" si="2"/>
        <v>NOC</v>
      </c>
      <c r="T26" s="2" t="str">
        <f t="shared" si="3"/>
        <v>No change</v>
      </c>
      <c r="U26" t="str">
        <f t="shared" si="4"/>
        <v>No change</v>
      </c>
      <c r="V26" s="3">
        <f t="shared" si="7"/>
        <v>7</v>
      </c>
      <c r="W26" s="3">
        <f t="shared" si="7"/>
        <v>-3</v>
      </c>
      <c r="X26" s="3">
        <f t="shared" si="7"/>
        <v>-1</v>
      </c>
      <c r="Y26" s="3">
        <f t="shared" si="7"/>
        <v>-3</v>
      </c>
      <c r="Z26" s="3">
        <f t="shared" si="7"/>
        <v>-1</v>
      </c>
    </row>
    <row r="27" spans="1:26" x14ac:dyDescent="0.2">
      <c r="A27" t="s">
        <v>148</v>
      </c>
      <c r="B27" t="s">
        <v>149</v>
      </c>
      <c r="C27" t="s">
        <v>24</v>
      </c>
      <c r="D27" t="s">
        <v>100</v>
      </c>
      <c r="E27" t="s">
        <v>100</v>
      </c>
      <c r="F27">
        <v>1</v>
      </c>
      <c r="G27">
        <v>22</v>
      </c>
      <c r="H27">
        <v>1</v>
      </c>
      <c r="I27">
        <v>15</v>
      </c>
      <c r="J27">
        <v>1</v>
      </c>
      <c r="K27">
        <f t="shared" si="0"/>
        <v>40</v>
      </c>
      <c r="L27" s="1" t="str">
        <f t="shared" si="1"/>
        <v>LAB</v>
      </c>
      <c r="M27">
        <v>8</v>
      </c>
      <c r="N27">
        <v>13</v>
      </c>
      <c r="O27">
        <v>1</v>
      </c>
      <c r="P27">
        <v>19</v>
      </c>
      <c r="Q27">
        <v>2</v>
      </c>
      <c r="R27">
        <f t="shared" si="6"/>
        <v>43</v>
      </c>
      <c r="S27" s="1" t="str">
        <f t="shared" si="2"/>
        <v>NOC</v>
      </c>
      <c r="T27" s="2" t="str">
        <f t="shared" si="3"/>
        <v>LAB loss to NOC</v>
      </c>
      <c r="U27" t="str">
        <f t="shared" si="4"/>
        <v>NOC gain from LAB</v>
      </c>
      <c r="V27" s="3">
        <f t="shared" si="7"/>
        <v>7</v>
      </c>
      <c r="W27" s="3">
        <f t="shared" si="7"/>
        <v>-9</v>
      </c>
      <c r="X27" s="3">
        <f t="shared" si="7"/>
        <v>0</v>
      </c>
      <c r="Y27" s="3">
        <f t="shared" si="7"/>
        <v>4</v>
      </c>
      <c r="Z27" s="3">
        <f t="shared" si="7"/>
        <v>1</v>
      </c>
    </row>
    <row r="28" spans="1:26" x14ac:dyDescent="0.2">
      <c r="A28" t="s">
        <v>150</v>
      </c>
      <c r="B28" t="s">
        <v>151</v>
      </c>
      <c r="D28" t="s">
        <v>100</v>
      </c>
      <c r="E28" t="s">
        <v>100</v>
      </c>
      <c r="F28">
        <v>10</v>
      </c>
      <c r="G28">
        <v>0</v>
      </c>
      <c r="H28">
        <v>6</v>
      </c>
      <c r="I28">
        <v>9</v>
      </c>
      <c r="J28">
        <v>9</v>
      </c>
      <c r="K28">
        <f t="shared" si="0"/>
        <v>34</v>
      </c>
      <c r="L28" s="1" t="str">
        <f t="shared" si="1"/>
        <v>NOC</v>
      </c>
      <c r="M28">
        <v>15</v>
      </c>
      <c r="N28">
        <v>0</v>
      </c>
      <c r="O28">
        <v>2</v>
      </c>
      <c r="P28">
        <v>9</v>
      </c>
      <c r="Q28">
        <v>8</v>
      </c>
      <c r="R28">
        <f t="shared" si="6"/>
        <v>34</v>
      </c>
      <c r="S28" s="1" t="str">
        <f t="shared" si="2"/>
        <v>NOC</v>
      </c>
      <c r="T28" s="2" t="str">
        <f t="shared" si="3"/>
        <v>No change</v>
      </c>
      <c r="U28" t="str">
        <f t="shared" si="4"/>
        <v>No change</v>
      </c>
      <c r="V28" s="3">
        <f t="shared" si="7"/>
        <v>5</v>
      </c>
      <c r="W28" s="3">
        <f t="shared" si="7"/>
        <v>0</v>
      </c>
      <c r="X28" s="3">
        <f t="shared" si="7"/>
        <v>-4</v>
      </c>
      <c r="Y28" s="3">
        <f t="shared" si="7"/>
        <v>0</v>
      </c>
      <c r="Z28" s="3">
        <f t="shared" si="7"/>
        <v>-1</v>
      </c>
    </row>
    <row r="29" spans="1:26" x14ac:dyDescent="0.2">
      <c r="A29" t="s">
        <v>152</v>
      </c>
      <c r="B29" t="s">
        <v>153</v>
      </c>
      <c r="D29" t="s">
        <v>100</v>
      </c>
      <c r="E29" t="s">
        <v>100</v>
      </c>
      <c r="F29">
        <v>0</v>
      </c>
      <c r="G29">
        <v>0</v>
      </c>
      <c r="H29">
        <v>0</v>
      </c>
      <c r="I29">
        <v>0</v>
      </c>
      <c r="J29">
        <v>22</v>
      </c>
      <c r="K29">
        <f t="shared" si="0"/>
        <v>22</v>
      </c>
      <c r="L29" s="1" t="str">
        <f t="shared" si="1"/>
        <v>Others</v>
      </c>
      <c r="M29">
        <v>0</v>
      </c>
      <c r="N29">
        <v>0</v>
      </c>
      <c r="O29">
        <v>0</v>
      </c>
      <c r="P29">
        <v>1</v>
      </c>
      <c r="Q29">
        <v>21</v>
      </c>
      <c r="R29">
        <f t="shared" si="6"/>
        <v>22</v>
      </c>
      <c r="S29" s="1" t="str">
        <f t="shared" si="2"/>
        <v>Others</v>
      </c>
      <c r="T29" s="2" t="str">
        <f t="shared" si="3"/>
        <v>No change</v>
      </c>
      <c r="U29" t="str">
        <f t="shared" si="4"/>
        <v>No change</v>
      </c>
      <c r="V29" s="3">
        <f t="shared" si="7"/>
        <v>0</v>
      </c>
      <c r="W29" s="3">
        <f t="shared" si="7"/>
        <v>0</v>
      </c>
      <c r="X29" s="3">
        <f t="shared" si="7"/>
        <v>0</v>
      </c>
      <c r="Y29" s="3">
        <f t="shared" si="7"/>
        <v>1</v>
      </c>
      <c r="Z29" s="3">
        <f t="shared" si="7"/>
        <v>-1</v>
      </c>
    </row>
    <row r="30" spans="1:26" x14ac:dyDescent="0.2">
      <c r="A30" t="s">
        <v>154</v>
      </c>
      <c r="B30" t="s">
        <v>155</v>
      </c>
      <c r="C30" t="s">
        <v>24</v>
      </c>
      <c r="D30" t="s">
        <v>100</v>
      </c>
      <c r="E30" t="s">
        <v>100</v>
      </c>
      <c r="F30">
        <v>10</v>
      </c>
      <c r="G30">
        <v>9</v>
      </c>
      <c r="H30">
        <v>0</v>
      </c>
      <c r="I30">
        <v>9</v>
      </c>
      <c r="J30">
        <v>2</v>
      </c>
      <c r="K30">
        <f t="shared" si="0"/>
        <v>30</v>
      </c>
      <c r="L30" s="1" t="str">
        <f t="shared" si="1"/>
        <v>NOC</v>
      </c>
      <c r="M30">
        <v>12</v>
      </c>
      <c r="N30">
        <v>5</v>
      </c>
      <c r="O30">
        <v>0</v>
      </c>
      <c r="P30">
        <v>9</v>
      </c>
      <c r="Q30">
        <v>2</v>
      </c>
      <c r="R30">
        <f t="shared" si="6"/>
        <v>28</v>
      </c>
      <c r="S30" s="1" t="str">
        <f t="shared" si="2"/>
        <v>NOC</v>
      </c>
      <c r="T30" s="2" t="str">
        <f t="shared" si="3"/>
        <v>No change</v>
      </c>
      <c r="U30" t="str">
        <f t="shared" si="4"/>
        <v>No change</v>
      </c>
      <c r="V30" s="3">
        <f t="shared" si="7"/>
        <v>2</v>
      </c>
      <c r="W30" s="3">
        <f t="shared" si="7"/>
        <v>-4</v>
      </c>
      <c r="X30" s="3">
        <f t="shared" si="7"/>
        <v>0</v>
      </c>
      <c r="Y30" s="3">
        <f t="shared" si="7"/>
        <v>0</v>
      </c>
      <c r="Z30" s="3">
        <f t="shared" si="7"/>
        <v>0</v>
      </c>
    </row>
    <row r="31" spans="1:26" x14ac:dyDescent="0.2">
      <c r="A31" t="s">
        <v>156</v>
      </c>
      <c r="B31" t="s">
        <v>157</v>
      </c>
      <c r="C31" t="s">
        <v>24</v>
      </c>
      <c r="D31" t="s">
        <v>100</v>
      </c>
      <c r="E31" t="s">
        <v>100</v>
      </c>
      <c r="F31">
        <v>3</v>
      </c>
      <c r="G31">
        <v>33</v>
      </c>
      <c r="H31">
        <v>1</v>
      </c>
      <c r="I31">
        <v>28</v>
      </c>
      <c r="J31">
        <v>2</v>
      </c>
      <c r="K31">
        <f t="shared" si="0"/>
        <v>67</v>
      </c>
      <c r="L31" s="1" t="str">
        <f t="shared" si="1"/>
        <v>NOC</v>
      </c>
      <c r="M31">
        <v>14</v>
      </c>
      <c r="N31">
        <v>21</v>
      </c>
      <c r="O31">
        <v>1</v>
      </c>
      <c r="P31">
        <v>27</v>
      </c>
      <c r="Q31">
        <v>1</v>
      </c>
      <c r="R31">
        <f t="shared" si="6"/>
        <v>64</v>
      </c>
      <c r="S31" s="1" t="str">
        <f t="shared" si="2"/>
        <v>NOC</v>
      </c>
      <c r="T31" s="2" t="str">
        <f t="shared" si="3"/>
        <v>No change</v>
      </c>
      <c r="U31" t="str">
        <f t="shared" si="4"/>
        <v>No change</v>
      </c>
      <c r="V31" s="3">
        <f t="shared" si="7"/>
        <v>11</v>
      </c>
      <c r="W31" s="3">
        <f t="shared" si="7"/>
        <v>-12</v>
      </c>
      <c r="X31" s="3">
        <f t="shared" si="7"/>
        <v>0</v>
      </c>
      <c r="Y31" s="3">
        <f t="shared" si="7"/>
        <v>-1</v>
      </c>
      <c r="Z31" s="3">
        <f t="shared" si="7"/>
        <v>-1</v>
      </c>
    </row>
    <row r="32" spans="1:26" x14ac:dyDescent="0.2">
      <c r="A32" t="s">
        <v>158</v>
      </c>
      <c r="B32" t="s">
        <v>159</v>
      </c>
      <c r="C32" t="s">
        <v>24</v>
      </c>
      <c r="D32" t="s">
        <v>100</v>
      </c>
      <c r="E32" t="s">
        <v>100</v>
      </c>
      <c r="F32">
        <v>4</v>
      </c>
      <c r="G32">
        <v>8</v>
      </c>
      <c r="H32">
        <v>0</v>
      </c>
      <c r="I32">
        <v>9</v>
      </c>
      <c r="J32">
        <v>1</v>
      </c>
      <c r="K32">
        <f t="shared" si="0"/>
        <v>22</v>
      </c>
      <c r="L32" s="1" t="str">
        <f t="shared" si="1"/>
        <v>NOC</v>
      </c>
      <c r="M32">
        <v>9</v>
      </c>
      <c r="N32">
        <v>4</v>
      </c>
      <c r="O32">
        <v>0</v>
      </c>
      <c r="P32">
        <v>9</v>
      </c>
      <c r="Q32">
        <v>1</v>
      </c>
      <c r="R32">
        <f t="shared" si="6"/>
        <v>23</v>
      </c>
      <c r="S32" s="1" t="str">
        <f t="shared" si="2"/>
        <v>NOC</v>
      </c>
      <c r="T32" s="2" t="str">
        <f t="shared" si="3"/>
        <v>No change</v>
      </c>
      <c r="U32" t="str">
        <f t="shared" si="4"/>
        <v>No change</v>
      </c>
      <c r="V32" s="3">
        <f t="shared" si="7"/>
        <v>5</v>
      </c>
      <c r="W32" s="3">
        <f t="shared" si="7"/>
        <v>-4</v>
      </c>
      <c r="X32" s="3">
        <f t="shared" si="7"/>
        <v>0</v>
      </c>
      <c r="Y32" s="3">
        <f t="shared" si="7"/>
        <v>0</v>
      </c>
      <c r="Z32" s="3">
        <f t="shared" si="7"/>
        <v>0</v>
      </c>
    </row>
    <row r="33" spans="1:26" x14ac:dyDescent="0.2">
      <c r="A33" t="s">
        <v>160</v>
      </c>
      <c r="B33" t="s">
        <v>161</v>
      </c>
      <c r="C33" t="s">
        <v>24</v>
      </c>
      <c r="D33" t="s">
        <v>100</v>
      </c>
      <c r="E33" t="s">
        <v>100</v>
      </c>
      <c r="F33">
        <v>0</v>
      </c>
      <c r="G33">
        <v>12</v>
      </c>
      <c r="H33">
        <v>0</v>
      </c>
      <c r="I33">
        <v>6</v>
      </c>
      <c r="J33">
        <v>4</v>
      </c>
      <c r="K33">
        <f t="shared" si="0"/>
        <v>22</v>
      </c>
      <c r="L33" s="1" t="str">
        <f t="shared" si="1"/>
        <v>LAB</v>
      </c>
      <c r="M33">
        <v>2</v>
      </c>
      <c r="N33">
        <v>8</v>
      </c>
      <c r="O33">
        <v>0</v>
      </c>
      <c r="P33">
        <v>10</v>
      </c>
      <c r="Q33">
        <v>2</v>
      </c>
      <c r="R33">
        <f t="shared" si="6"/>
        <v>22</v>
      </c>
      <c r="S33" s="1" t="str">
        <f t="shared" si="2"/>
        <v>NOC</v>
      </c>
      <c r="T33" s="2" t="str">
        <f t="shared" si="3"/>
        <v>LAB loss to NOC</v>
      </c>
      <c r="U33" t="str">
        <f t="shared" si="4"/>
        <v>NOC gain from LAB</v>
      </c>
      <c r="V33" s="3">
        <f t="shared" si="7"/>
        <v>2</v>
      </c>
      <c r="W33" s="3">
        <f t="shared" si="7"/>
        <v>-4</v>
      </c>
      <c r="X33" s="3">
        <f t="shared" si="7"/>
        <v>0</v>
      </c>
      <c r="Y33" s="3">
        <f t="shared" si="7"/>
        <v>4</v>
      </c>
      <c r="Z33" s="3">
        <f t="shared" si="7"/>
        <v>-2</v>
      </c>
    </row>
    <row r="34" spans="1:26" x14ac:dyDescent="0.2">
      <c r="A34" t="s">
        <v>162</v>
      </c>
      <c r="B34" t="s">
        <v>163</v>
      </c>
      <c r="D34" t="s">
        <v>100</v>
      </c>
      <c r="E34" t="s">
        <v>100</v>
      </c>
      <c r="F34">
        <v>1</v>
      </c>
      <c r="G34">
        <v>16</v>
      </c>
      <c r="H34">
        <v>0</v>
      </c>
      <c r="I34">
        <v>15</v>
      </c>
      <c r="J34">
        <v>1</v>
      </c>
      <c r="K34">
        <f t="shared" si="0"/>
        <v>33</v>
      </c>
      <c r="L34" s="1" t="str">
        <f t="shared" si="1"/>
        <v>NOC</v>
      </c>
      <c r="M34">
        <v>7</v>
      </c>
      <c r="N34">
        <v>12</v>
      </c>
      <c r="O34">
        <v>0</v>
      </c>
      <c r="P34">
        <v>13</v>
      </c>
      <c r="Q34">
        <v>1</v>
      </c>
      <c r="R34">
        <f t="shared" si="6"/>
        <v>33</v>
      </c>
      <c r="S34" s="1" t="str">
        <f t="shared" si="2"/>
        <v>NOC</v>
      </c>
      <c r="T34" s="2" t="str">
        <f t="shared" si="3"/>
        <v>No change</v>
      </c>
      <c r="U34" t="str">
        <f t="shared" si="4"/>
        <v>No change</v>
      </c>
      <c r="V34" s="3">
        <f t="shared" si="7"/>
        <v>6</v>
      </c>
      <c r="W34" s="3">
        <f t="shared" si="7"/>
        <v>-4</v>
      </c>
      <c r="X34" s="3">
        <f t="shared" si="7"/>
        <v>0</v>
      </c>
      <c r="Y34" s="3">
        <f t="shared" si="7"/>
        <v>-2</v>
      </c>
      <c r="Z34" s="3">
        <f t="shared" si="7"/>
        <v>0</v>
      </c>
    </row>
  </sheetData>
  <mergeCells count="4">
    <mergeCell ref="F1:K1"/>
    <mergeCell ref="M1:R1"/>
    <mergeCell ref="T1:U1"/>
    <mergeCell ref="V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workbookViewId="0">
      <selection activeCell="B11" sqref="B11"/>
    </sheetView>
  </sheetViews>
  <sheetFormatPr defaultRowHeight="11.25" x14ac:dyDescent="0.2"/>
  <cols>
    <col min="1" max="1" width="10.83203125" customWidth="1"/>
    <col min="2" max="2" width="19.6640625" bestFit="1" customWidth="1"/>
    <col min="3" max="3" width="19.6640625" customWidth="1"/>
    <col min="4" max="4" width="18.83203125" bestFit="1" customWidth="1"/>
    <col min="5" max="5" width="22.1640625" bestFit="1" customWidth="1"/>
    <col min="20" max="20" width="13.83203125" bestFit="1" customWidth="1"/>
    <col min="21" max="21" width="16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0" t="s">
        <v>5</v>
      </c>
      <c r="G1" s="10"/>
      <c r="H1" s="10"/>
      <c r="I1" s="10"/>
      <c r="J1" s="10"/>
      <c r="K1" s="11"/>
      <c r="L1" s="1" t="s">
        <v>6</v>
      </c>
      <c r="M1" s="10" t="s">
        <v>7</v>
      </c>
      <c r="N1" s="10"/>
      <c r="O1" s="10"/>
      <c r="P1" s="10"/>
      <c r="Q1" s="10"/>
      <c r="R1" s="11"/>
      <c r="S1" s="1" t="s">
        <v>6</v>
      </c>
      <c r="T1" s="10" t="s">
        <v>6</v>
      </c>
      <c r="U1" s="10"/>
      <c r="V1" s="12" t="s">
        <v>8</v>
      </c>
      <c r="W1" s="12"/>
      <c r="X1" s="12"/>
      <c r="Y1" s="12"/>
      <c r="Z1" s="12"/>
    </row>
    <row r="2" spans="1:26" x14ac:dyDescent="0.2">
      <c r="F2" s="1" t="s">
        <v>9</v>
      </c>
      <c r="G2" s="1" t="s">
        <v>10</v>
      </c>
      <c r="H2" s="1" t="s">
        <v>11</v>
      </c>
      <c r="I2" s="1" t="s">
        <v>164</v>
      </c>
      <c r="J2" s="1" t="s">
        <v>14</v>
      </c>
      <c r="K2" s="1" t="s">
        <v>15</v>
      </c>
      <c r="L2" s="1"/>
      <c r="M2" s="1" t="s">
        <v>9</v>
      </c>
      <c r="N2" s="1" t="s">
        <v>10</v>
      </c>
      <c r="O2" s="1" t="s">
        <v>11</v>
      </c>
      <c r="P2" s="1" t="s">
        <v>164</v>
      </c>
      <c r="Q2" s="1" t="s">
        <v>14</v>
      </c>
      <c r="R2" s="1" t="s">
        <v>15</v>
      </c>
      <c r="S2" s="1"/>
      <c r="T2" s="1" t="s">
        <v>16</v>
      </c>
      <c r="U2" s="1" t="s">
        <v>17</v>
      </c>
      <c r="V2" s="1" t="s">
        <v>9</v>
      </c>
      <c r="W2" s="1" t="s">
        <v>10</v>
      </c>
      <c r="X2" s="1" t="s">
        <v>11</v>
      </c>
      <c r="Y2" s="1" t="s">
        <v>164</v>
      </c>
      <c r="Z2" s="1" t="s">
        <v>14</v>
      </c>
    </row>
    <row r="3" spans="1:26" x14ac:dyDescent="0.2">
      <c r="A3" t="s">
        <v>165</v>
      </c>
      <c r="B3" t="s">
        <v>166</v>
      </c>
      <c r="D3" t="s">
        <v>167</v>
      </c>
      <c r="E3" t="s">
        <v>167</v>
      </c>
      <c r="F3">
        <v>0</v>
      </c>
      <c r="G3">
        <v>3</v>
      </c>
      <c r="H3">
        <v>1</v>
      </c>
      <c r="I3">
        <v>12</v>
      </c>
      <c r="J3">
        <v>14</v>
      </c>
      <c r="K3">
        <f t="shared" ref="K3:K24" si="0">SUM(F3:J3)</f>
        <v>30</v>
      </c>
      <c r="L3" s="1" t="str">
        <f t="shared" ref="L3:L24" si="1">IF(MAX(F3:J3)&gt;K3/2, INDEX($F$2:$J$2,MATCH(MAX(F3:J3),F3:J3,0)), "NOC")</f>
        <v>NOC</v>
      </c>
      <c r="M3">
        <v>0</v>
      </c>
      <c r="N3">
        <v>2</v>
      </c>
      <c r="O3">
        <v>1</v>
      </c>
      <c r="P3">
        <v>14</v>
      </c>
      <c r="Q3">
        <v>13</v>
      </c>
      <c r="R3">
        <f>SUM(M3:Q3)</f>
        <v>30</v>
      </c>
      <c r="S3" s="1" t="str">
        <f t="shared" ref="S3:S24" si="2">IF(MAX(M3:Q3)&gt;R3/2, INDEX($M$2:$Q$2,MATCH(MAX(M3:Q3),M3:Q3,0)), "NOC")</f>
        <v>NOC</v>
      </c>
      <c r="T3" s="2" t="str">
        <f t="shared" ref="T3:T24" si="3">IF(L3=S3,"No change",L3&amp;" loss to "&amp;S3)</f>
        <v>No change</v>
      </c>
      <c r="U3" t="str">
        <f t="shared" ref="U3:U24" si="4">IF(S3=L3,"No change",S3&amp;" gain from "&amp;L3)</f>
        <v>No change</v>
      </c>
      <c r="V3" s="3">
        <f>M3-F3</f>
        <v>0</v>
      </c>
      <c r="W3" s="3">
        <f t="shared" ref="W3:Z18" si="5">N3-G3</f>
        <v>-1</v>
      </c>
      <c r="X3" s="3">
        <f t="shared" si="5"/>
        <v>0</v>
      </c>
      <c r="Y3" s="3">
        <f t="shared" si="5"/>
        <v>2</v>
      </c>
      <c r="Z3" s="3">
        <f t="shared" si="5"/>
        <v>-1</v>
      </c>
    </row>
    <row r="4" spans="1:26" x14ac:dyDescent="0.2">
      <c r="A4" s="8" t="s">
        <v>168</v>
      </c>
      <c r="B4" s="8" t="s">
        <v>169</v>
      </c>
      <c r="C4" s="8"/>
      <c r="D4" s="8" t="s">
        <v>167</v>
      </c>
      <c r="E4" s="8" t="s">
        <v>167</v>
      </c>
      <c r="F4" s="8">
        <v>0</v>
      </c>
      <c r="G4" s="8">
        <v>33</v>
      </c>
      <c r="H4" s="8">
        <v>0</v>
      </c>
      <c r="I4" s="8">
        <v>0</v>
      </c>
      <c r="J4" s="8">
        <v>9</v>
      </c>
      <c r="K4" s="8">
        <f t="shared" si="0"/>
        <v>42</v>
      </c>
      <c r="L4" s="9" t="str">
        <f t="shared" si="1"/>
        <v>LAB</v>
      </c>
      <c r="M4" s="8">
        <v>0</v>
      </c>
      <c r="N4" s="8">
        <v>13</v>
      </c>
      <c r="O4" s="8">
        <v>0</v>
      </c>
      <c r="P4" s="8">
        <v>1</v>
      </c>
      <c r="Q4" s="8">
        <v>28</v>
      </c>
      <c r="R4" s="8">
        <f t="shared" ref="R4:R24" si="6">SUM(M4:Q4)</f>
        <v>42</v>
      </c>
      <c r="S4" s="9" t="str">
        <f t="shared" si="2"/>
        <v>Others</v>
      </c>
      <c r="T4" s="2" t="str">
        <f t="shared" si="3"/>
        <v>LAB loss to Others</v>
      </c>
      <c r="U4" s="8" t="str">
        <f t="shared" si="4"/>
        <v>Others gain from LAB</v>
      </c>
      <c r="V4" s="3">
        <f t="shared" ref="V4:Z24" si="7">M4-F4</f>
        <v>0</v>
      </c>
      <c r="W4" s="3">
        <f t="shared" si="5"/>
        <v>-20</v>
      </c>
      <c r="X4" s="3">
        <f t="shared" si="5"/>
        <v>0</v>
      </c>
      <c r="Y4" s="3">
        <f t="shared" si="5"/>
        <v>1</v>
      </c>
      <c r="Z4" s="3">
        <f t="shared" si="5"/>
        <v>19</v>
      </c>
    </row>
    <row r="5" spans="1:26" x14ac:dyDescent="0.2">
      <c r="A5" t="s">
        <v>170</v>
      </c>
      <c r="B5" t="s">
        <v>171</v>
      </c>
      <c r="D5" t="s">
        <v>167</v>
      </c>
      <c r="E5" t="s">
        <v>167</v>
      </c>
      <c r="F5">
        <v>1</v>
      </c>
      <c r="G5">
        <v>39</v>
      </c>
      <c r="H5">
        <v>3</v>
      </c>
      <c r="I5">
        <v>1</v>
      </c>
      <c r="J5">
        <v>10</v>
      </c>
      <c r="K5">
        <f t="shared" si="0"/>
        <v>54</v>
      </c>
      <c r="L5" s="1" t="str">
        <f t="shared" si="1"/>
        <v>LAB</v>
      </c>
      <c r="M5">
        <v>11</v>
      </c>
      <c r="N5">
        <v>26</v>
      </c>
      <c r="O5">
        <v>1</v>
      </c>
      <c r="P5">
        <v>3</v>
      </c>
      <c r="Q5">
        <v>13</v>
      </c>
      <c r="R5">
        <f t="shared" si="6"/>
        <v>54</v>
      </c>
      <c r="S5" s="1" t="str">
        <f t="shared" si="2"/>
        <v>NOC</v>
      </c>
      <c r="T5" s="2" t="str">
        <f t="shared" si="3"/>
        <v>LAB loss to NOC</v>
      </c>
      <c r="U5" t="str">
        <f t="shared" si="4"/>
        <v>NOC gain from LAB</v>
      </c>
      <c r="V5" s="3">
        <f t="shared" si="7"/>
        <v>10</v>
      </c>
      <c r="W5" s="3">
        <f t="shared" si="5"/>
        <v>-13</v>
      </c>
      <c r="X5" s="3">
        <f t="shared" si="5"/>
        <v>-2</v>
      </c>
      <c r="Y5" s="3">
        <f t="shared" si="5"/>
        <v>2</v>
      </c>
      <c r="Z5" s="3">
        <f t="shared" si="5"/>
        <v>3</v>
      </c>
    </row>
    <row r="6" spans="1:26" x14ac:dyDescent="0.2">
      <c r="A6" t="s">
        <v>172</v>
      </c>
      <c r="B6" t="s">
        <v>173</v>
      </c>
      <c r="D6" t="s">
        <v>167</v>
      </c>
      <c r="E6" t="s">
        <v>167</v>
      </c>
      <c r="F6">
        <v>0</v>
      </c>
      <c r="G6">
        <v>50</v>
      </c>
      <c r="H6">
        <v>0</v>
      </c>
      <c r="I6">
        <v>20</v>
      </c>
      <c r="J6">
        <v>3</v>
      </c>
      <c r="K6">
        <f t="shared" si="0"/>
        <v>73</v>
      </c>
      <c r="L6" s="1" t="str">
        <f t="shared" si="1"/>
        <v>LAB</v>
      </c>
      <c r="M6">
        <v>0</v>
      </c>
      <c r="N6">
        <v>50</v>
      </c>
      <c r="O6">
        <v>0</v>
      </c>
      <c r="P6">
        <v>18</v>
      </c>
      <c r="Q6">
        <v>5</v>
      </c>
      <c r="R6">
        <f t="shared" si="6"/>
        <v>73</v>
      </c>
      <c r="S6" s="1" t="str">
        <f t="shared" si="2"/>
        <v>LAB</v>
      </c>
      <c r="T6" s="2" t="str">
        <f t="shared" si="3"/>
        <v>No change</v>
      </c>
      <c r="U6" t="str">
        <f t="shared" si="4"/>
        <v>No change</v>
      </c>
      <c r="V6" s="3">
        <f t="shared" si="7"/>
        <v>0</v>
      </c>
      <c r="W6" s="3">
        <f t="shared" si="5"/>
        <v>0</v>
      </c>
      <c r="X6" s="3">
        <f t="shared" si="5"/>
        <v>0</v>
      </c>
      <c r="Y6" s="3">
        <f t="shared" si="5"/>
        <v>-2</v>
      </c>
      <c r="Z6" s="3">
        <f t="shared" si="5"/>
        <v>2</v>
      </c>
    </row>
    <row r="7" spans="1:26" x14ac:dyDescent="0.2">
      <c r="A7" t="s">
        <v>174</v>
      </c>
      <c r="B7" t="s">
        <v>175</v>
      </c>
      <c r="D7" t="s">
        <v>167</v>
      </c>
      <c r="E7" t="s">
        <v>167</v>
      </c>
      <c r="F7">
        <v>7</v>
      </c>
      <c r="G7">
        <v>46</v>
      </c>
      <c r="H7">
        <v>16</v>
      </c>
      <c r="I7">
        <v>2</v>
      </c>
      <c r="J7">
        <v>4</v>
      </c>
      <c r="K7">
        <f t="shared" si="0"/>
        <v>75</v>
      </c>
      <c r="L7" s="1" t="str">
        <f t="shared" si="1"/>
        <v>LAB</v>
      </c>
      <c r="M7">
        <v>20</v>
      </c>
      <c r="N7">
        <v>40</v>
      </c>
      <c r="O7">
        <v>11</v>
      </c>
      <c r="P7">
        <v>3</v>
      </c>
      <c r="Q7">
        <v>1</v>
      </c>
      <c r="R7">
        <f t="shared" si="6"/>
        <v>75</v>
      </c>
      <c r="S7" s="1" t="str">
        <f t="shared" si="2"/>
        <v>LAB</v>
      </c>
      <c r="T7" s="2" t="str">
        <f t="shared" si="3"/>
        <v>No change</v>
      </c>
      <c r="U7" t="str">
        <f t="shared" si="4"/>
        <v>No change</v>
      </c>
      <c r="V7" s="3">
        <f t="shared" si="7"/>
        <v>13</v>
      </c>
      <c r="W7" s="3">
        <f t="shared" si="5"/>
        <v>-6</v>
      </c>
      <c r="X7" s="3">
        <f t="shared" si="5"/>
        <v>-5</v>
      </c>
      <c r="Y7" s="3">
        <f t="shared" si="5"/>
        <v>1</v>
      </c>
      <c r="Z7" s="3">
        <f t="shared" si="5"/>
        <v>-3</v>
      </c>
    </row>
    <row r="8" spans="1:26" x14ac:dyDescent="0.2">
      <c r="A8" t="s">
        <v>176</v>
      </c>
      <c r="B8" t="s">
        <v>177</v>
      </c>
      <c r="D8" t="s">
        <v>167</v>
      </c>
      <c r="E8" t="s">
        <v>167</v>
      </c>
      <c r="F8">
        <v>0</v>
      </c>
      <c r="G8">
        <v>23</v>
      </c>
      <c r="H8">
        <v>0</v>
      </c>
      <c r="I8">
        <v>28</v>
      </c>
      <c r="J8">
        <v>23</v>
      </c>
      <c r="K8">
        <f t="shared" si="0"/>
        <v>74</v>
      </c>
      <c r="L8" s="1" t="str">
        <f t="shared" si="1"/>
        <v>NOC</v>
      </c>
      <c r="M8">
        <v>0</v>
      </c>
      <c r="N8">
        <v>22</v>
      </c>
      <c r="O8">
        <v>0</v>
      </c>
      <c r="P8">
        <v>36</v>
      </c>
      <c r="Q8">
        <v>16</v>
      </c>
      <c r="R8">
        <f t="shared" si="6"/>
        <v>74</v>
      </c>
      <c r="S8" s="1" t="str">
        <f t="shared" si="2"/>
        <v>NOC</v>
      </c>
      <c r="T8" s="2" t="str">
        <f t="shared" si="3"/>
        <v>No change</v>
      </c>
      <c r="U8" t="str">
        <f t="shared" si="4"/>
        <v>No change</v>
      </c>
      <c r="V8" s="3">
        <f t="shared" si="7"/>
        <v>0</v>
      </c>
      <c r="W8" s="3">
        <f t="shared" si="5"/>
        <v>-1</v>
      </c>
      <c r="X8" s="3">
        <f t="shared" si="5"/>
        <v>0</v>
      </c>
      <c r="Y8" s="3">
        <f t="shared" si="5"/>
        <v>8</v>
      </c>
      <c r="Z8" s="3">
        <f t="shared" si="5"/>
        <v>-7</v>
      </c>
    </row>
    <row r="9" spans="1:26" x14ac:dyDescent="0.2">
      <c r="A9" s="8" t="s">
        <v>178</v>
      </c>
      <c r="B9" s="8" t="s">
        <v>179</v>
      </c>
      <c r="C9" s="8"/>
      <c r="D9" s="8" t="s">
        <v>167</v>
      </c>
      <c r="E9" s="8" t="s">
        <v>167</v>
      </c>
      <c r="F9" s="8">
        <v>0</v>
      </c>
      <c r="G9" s="8">
        <v>1</v>
      </c>
      <c r="H9" s="8">
        <v>7</v>
      </c>
      <c r="I9" s="8">
        <v>19</v>
      </c>
      <c r="J9" s="8">
        <v>15</v>
      </c>
      <c r="K9" s="8">
        <f t="shared" si="0"/>
        <v>42</v>
      </c>
      <c r="L9" s="9" t="str">
        <f t="shared" si="1"/>
        <v>NOC</v>
      </c>
      <c r="M9" s="8">
        <v>0</v>
      </c>
      <c r="N9" s="8">
        <v>1</v>
      </c>
      <c r="O9" s="8">
        <v>8</v>
      </c>
      <c r="P9" s="8">
        <v>20</v>
      </c>
      <c r="Q9" s="8">
        <v>13</v>
      </c>
      <c r="R9" s="8">
        <f t="shared" si="6"/>
        <v>42</v>
      </c>
      <c r="S9" s="9" t="str">
        <f t="shared" si="2"/>
        <v>NOC</v>
      </c>
      <c r="T9" s="2" t="str">
        <f t="shared" si="3"/>
        <v>No change</v>
      </c>
      <c r="U9" s="8" t="str">
        <f t="shared" si="4"/>
        <v>No change</v>
      </c>
      <c r="V9" s="3">
        <f t="shared" si="7"/>
        <v>0</v>
      </c>
      <c r="W9" s="3">
        <f t="shared" si="5"/>
        <v>0</v>
      </c>
      <c r="X9" s="3">
        <f t="shared" si="5"/>
        <v>1</v>
      </c>
      <c r="Y9" s="3">
        <f t="shared" si="5"/>
        <v>1</v>
      </c>
      <c r="Z9" s="3">
        <f t="shared" si="5"/>
        <v>-2</v>
      </c>
    </row>
    <row r="10" spans="1:26" x14ac:dyDescent="0.2">
      <c r="A10" t="s">
        <v>180</v>
      </c>
      <c r="B10" t="s">
        <v>181</v>
      </c>
      <c r="D10" t="s">
        <v>167</v>
      </c>
      <c r="E10" t="s">
        <v>167</v>
      </c>
      <c r="F10">
        <v>13</v>
      </c>
      <c r="G10">
        <v>10</v>
      </c>
      <c r="H10">
        <v>5</v>
      </c>
      <c r="I10">
        <v>12</v>
      </c>
      <c r="J10">
        <v>19</v>
      </c>
      <c r="K10">
        <f t="shared" si="0"/>
        <v>59</v>
      </c>
      <c r="L10" s="1" t="str">
        <f t="shared" si="1"/>
        <v>NOC</v>
      </c>
      <c r="M10">
        <v>16</v>
      </c>
      <c r="N10">
        <v>8</v>
      </c>
      <c r="O10">
        <v>4</v>
      </c>
      <c r="P10">
        <v>10</v>
      </c>
      <c r="Q10">
        <v>21</v>
      </c>
      <c r="R10">
        <f t="shared" si="6"/>
        <v>59</v>
      </c>
      <c r="S10" s="1" t="str">
        <f t="shared" si="2"/>
        <v>NOC</v>
      </c>
      <c r="T10" s="2" t="str">
        <f t="shared" si="3"/>
        <v>No change</v>
      </c>
      <c r="U10" t="str">
        <f t="shared" si="4"/>
        <v>No change</v>
      </c>
      <c r="V10" s="3">
        <f t="shared" si="7"/>
        <v>3</v>
      </c>
      <c r="W10" s="3">
        <f t="shared" si="5"/>
        <v>-2</v>
      </c>
      <c r="X10" s="3">
        <f t="shared" si="5"/>
        <v>-1</v>
      </c>
      <c r="Y10" s="3">
        <f t="shared" si="5"/>
        <v>-2</v>
      </c>
      <c r="Z10" s="3">
        <f t="shared" si="5"/>
        <v>2</v>
      </c>
    </row>
    <row r="11" spans="1:26" x14ac:dyDescent="0.2">
      <c r="A11" s="8" t="s">
        <v>182</v>
      </c>
      <c r="B11" s="8" t="s">
        <v>183</v>
      </c>
      <c r="C11" s="8"/>
      <c r="D11" s="8" t="s">
        <v>167</v>
      </c>
      <c r="E11" s="8" t="s">
        <v>167</v>
      </c>
      <c r="F11" s="8">
        <v>9</v>
      </c>
      <c r="G11" s="8">
        <v>18</v>
      </c>
      <c r="H11" s="8">
        <v>1</v>
      </c>
      <c r="I11" s="8">
        <v>7</v>
      </c>
      <c r="J11" s="8">
        <v>12</v>
      </c>
      <c r="K11" s="8">
        <f t="shared" si="0"/>
        <v>47</v>
      </c>
      <c r="L11" s="9" t="str">
        <f t="shared" si="1"/>
        <v>NOC</v>
      </c>
      <c r="M11" s="8">
        <v>16</v>
      </c>
      <c r="N11" s="8">
        <v>13</v>
      </c>
      <c r="O11" s="8">
        <v>1</v>
      </c>
      <c r="P11" s="8">
        <v>9</v>
      </c>
      <c r="Q11" s="8">
        <v>8</v>
      </c>
      <c r="R11" s="8">
        <f t="shared" si="6"/>
        <v>47</v>
      </c>
      <c r="S11" s="9" t="str">
        <f t="shared" si="2"/>
        <v>NOC</v>
      </c>
      <c r="T11" s="2" t="str">
        <f t="shared" si="3"/>
        <v>No change</v>
      </c>
      <c r="U11" s="8" t="str">
        <f t="shared" si="4"/>
        <v>No change</v>
      </c>
      <c r="V11" s="3">
        <f t="shared" si="7"/>
        <v>7</v>
      </c>
      <c r="W11" s="3">
        <f t="shared" si="5"/>
        <v>-5</v>
      </c>
      <c r="X11" s="3">
        <f t="shared" si="5"/>
        <v>0</v>
      </c>
      <c r="Y11" s="3">
        <f t="shared" si="5"/>
        <v>2</v>
      </c>
      <c r="Z11" s="3">
        <f t="shared" si="5"/>
        <v>-4</v>
      </c>
    </row>
    <row r="12" spans="1:26" x14ac:dyDescent="0.2">
      <c r="A12" t="s">
        <v>184</v>
      </c>
      <c r="B12" s="8" t="s">
        <v>185</v>
      </c>
      <c r="C12" s="8"/>
      <c r="D12" t="s">
        <v>167</v>
      </c>
      <c r="E12" t="s">
        <v>167</v>
      </c>
      <c r="F12">
        <v>8</v>
      </c>
      <c r="G12">
        <v>31</v>
      </c>
      <c r="H12">
        <v>7</v>
      </c>
      <c r="I12">
        <v>1</v>
      </c>
      <c r="J12">
        <v>23</v>
      </c>
      <c r="K12">
        <f t="shared" si="0"/>
        <v>70</v>
      </c>
      <c r="L12" s="1" t="str">
        <f t="shared" si="1"/>
        <v>NOC</v>
      </c>
      <c r="M12">
        <v>6</v>
      </c>
      <c r="N12">
        <v>34</v>
      </c>
      <c r="O12">
        <v>5</v>
      </c>
      <c r="P12">
        <v>0</v>
      </c>
      <c r="Q12">
        <v>25</v>
      </c>
      <c r="R12">
        <f t="shared" si="6"/>
        <v>70</v>
      </c>
      <c r="S12" s="1" t="str">
        <f t="shared" si="2"/>
        <v>NOC</v>
      </c>
      <c r="T12" s="2" t="str">
        <f t="shared" si="3"/>
        <v>No change</v>
      </c>
      <c r="U12" t="str">
        <f t="shared" si="4"/>
        <v>No change</v>
      </c>
      <c r="V12" s="3">
        <f t="shared" si="7"/>
        <v>-2</v>
      </c>
      <c r="W12" s="3">
        <f t="shared" si="5"/>
        <v>3</v>
      </c>
      <c r="X12" s="3">
        <f t="shared" si="5"/>
        <v>-2</v>
      </c>
      <c r="Y12" s="3">
        <f t="shared" si="5"/>
        <v>-1</v>
      </c>
      <c r="Z12" s="3">
        <f t="shared" si="5"/>
        <v>2</v>
      </c>
    </row>
    <row r="13" spans="1:26" x14ac:dyDescent="0.2">
      <c r="A13" t="s">
        <v>186</v>
      </c>
      <c r="B13" s="8" t="s">
        <v>187</v>
      </c>
      <c r="C13" s="8"/>
      <c r="D13" t="s">
        <v>167</v>
      </c>
      <c r="E13" t="s">
        <v>167</v>
      </c>
      <c r="F13">
        <v>0</v>
      </c>
      <c r="G13">
        <v>4</v>
      </c>
      <c r="H13">
        <v>2</v>
      </c>
      <c r="I13">
        <v>37</v>
      </c>
      <c r="J13">
        <v>32</v>
      </c>
      <c r="K13">
        <f t="shared" si="0"/>
        <v>75</v>
      </c>
      <c r="L13" s="1" t="str">
        <f t="shared" si="1"/>
        <v>NOC</v>
      </c>
      <c r="M13">
        <v>0</v>
      </c>
      <c r="N13">
        <v>1</v>
      </c>
      <c r="O13">
        <v>1</v>
      </c>
      <c r="P13">
        <v>41</v>
      </c>
      <c r="Q13">
        <v>32</v>
      </c>
      <c r="R13">
        <f t="shared" si="6"/>
        <v>75</v>
      </c>
      <c r="S13" s="1" t="str">
        <f t="shared" si="2"/>
        <v>PC</v>
      </c>
      <c r="T13" s="2" t="str">
        <f t="shared" si="3"/>
        <v>NOC loss to PC</v>
      </c>
      <c r="U13" t="str">
        <f t="shared" si="4"/>
        <v>PC gain from NOC</v>
      </c>
      <c r="V13" s="3">
        <f t="shared" si="7"/>
        <v>0</v>
      </c>
      <c r="W13" s="3">
        <f t="shared" si="5"/>
        <v>-3</v>
      </c>
      <c r="X13" s="3">
        <f t="shared" si="5"/>
        <v>-1</v>
      </c>
      <c r="Y13" s="3">
        <f t="shared" si="5"/>
        <v>4</v>
      </c>
      <c r="Z13" s="3">
        <f t="shared" si="5"/>
        <v>0</v>
      </c>
    </row>
    <row r="14" spans="1:26" x14ac:dyDescent="0.2">
      <c r="A14" s="8" t="s">
        <v>188</v>
      </c>
      <c r="B14" s="8" t="s">
        <v>189</v>
      </c>
      <c r="C14" s="8"/>
      <c r="D14" s="8" t="s">
        <v>167</v>
      </c>
      <c r="E14" s="8" t="s">
        <v>167</v>
      </c>
      <c r="F14" s="8">
        <v>0</v>
      </c>
      <c r="G14" s="8">
        <v>23</v>
      </c>
      <c r="H14" s="8">
        <v>0</v>
      </c>
      <c r="I14" s="8">
        <v>0</v>
      </c>
      <c r="J14" s="8">
        <v>10</v>
      </c>
      <c r="K14" s="8">
        <f t="shared" si="0"/>
        <v>33</v>
      </c>
      <c r="L14" s="9" t="str">
        <f t="shared" si="1"/>
        <v>LAB</v>
      </c>
      <c r="M14" s="8">
        <v>0</v>
      </c>
      <c r="N14" s="8">
        <v>14</v>
      </c>
      <c r="O14" s="8">
        <v>0</v>
      </c>
      <c r="P14" s="8">
        <v>0</v>
      </c>
      <c r="Q14" s="8">
        <v>16</v>
      </c>
      <c r="R14" s="8">
        <f t="shared" si="6"/>
        <v>30</v>
      </c>
      <c r="S14" s="9" t="str">
        <f t="shared" si="2"/>
        <v>Others</v>
      </c>
      <c r="T14" s="2" t="str">
        <f t="shared" si="3"/>
        <v>LAB loss to Others</v>
      </c>
      <c r="U14" s="8" t="str">
        <f t="shared" si="4"/>
        <v>Others gain from LAB</v>
      </c>
      <c r="V14" s="3">
        <f t="shared" si="7"/>
        <v>0</v>
      </c>
      <c r="W14" s="3">
        <f t="shared" si="5"/>
        <v>-9</v>
      </c>
      <c r="X14" s="3">
        <f t="shared" si="5"/>
        <v>0</v>
      </c>
      <c r="Y14" s="3">
        <f t="shared" si="5"/>
        <v>0</v>
      </c>
      <c r="Z14" s="3">
        <f t="shared" si="5"/>
        <v>6</v>
      </c>
    </row>
    <row r="15" spans="1:26" x14ac:dyDescent="0.2">
      <c r="A15" t="s">
        <v>190</v>
      </c>
      <c r="B15" s="8" t="s">
        <v>191</v>
      </c>
      <c r="C15" s="8"/>
      <c r="D15" t="s">
        <v>167</v>
      </c>
      <c r="E15" t="s">
        <v>167</v>
      </c>
      <c r="F15">
        <v>19</v>
      </c>
      <c r="G15">
        <v>11</v>
      </c>
      <c r="H15">
        <v>3</v>
      </c>
      <c r="I15">
        <v>0</v>
      </c>
      <c r="J15">
        <v>10</v>
      </c>
      <c r="K15">
        <f t="shared" si="0"/>
        <v>43</v>
      </c>
      <c r="L15" s="1" t="str">
        <f t="shared" si="1"/>
        <v>NOC</v>
      </c>
      <c r="M15">
        <v>25</v>
      </c>
      <c r="N15">
        <v>10</v>
      </c>
      <c r="O15">
        <v>3</v>
      </c>
      <c r="P15">
        <v>0</v>
      </c>
      <c r="Q15">
        <v>5</v>
      </c>
      <c r="R15">
        <f t="shared" si="6"/>
        <v>43</v>
      </c>
      <c r="S15" s="1" t="str">
        <f t="shared" si="2"/>
        <v>CON</v>
      </c>
      <c r="T15" s="2" t="str">
        <f t="shared" si="3"/>
        <v>NOC loss to CON</v>
      </c>
      <c r="U15" t="str">
        <f t="shared" si="4"/>
        <v>CON gain from NOC</v>
      </c>
      <c r="V15" s="3">
        <f t="shared" si="7"/>
        <v>6</v>
      </c>
      <c r="W15" s="3">
        <f t="shared" si="5"/>
        <v>-1</v>
      </c>
      <c r="X15" s="3">
        <f t="shared" si="5"/>
        <v>0</v>
      </c>
      <c r="Y15" s="3">
        <f t="shared" si="5"/>
        <v>0</v>
      </c>
      <c r="Z15" s="3">
        <f t="shared" si="5"/>
        <v>-5</v>
      </c>
    </row>
    <row r="16" spans="1:26" x14ac:dyDescent="0.2">
      <c r="A16" t="s">
        <v>192</v>
      </c>
      <c r="B16" t="s">
        <v>193</v>
      </c>
      <c r="D16" t="s">
        <v>167</v>
      </c>
      <c r="E16" t="s">
        <v>167</v>
      </c>
      <c r="F16">
        <v>0</v>
      </c>
      <c r="G16">
        <v>52</v>
      </c>
      <c r="H16">
        <v>0</v>
      </c>
      <c r="I16">
        <v>8</v>
      </c>
      <c r="J16">
        <v>4</v>
      </c>
      <c r="K16">
        <f t="shared" si="0"/>
        <v>64</v>
      </c>
      <c r="L16" s="1" t="str">
        <f t="shared" si="1"/>
        <v>LAB</v>
      </c>
      <c r="M16">
        <v>0</v>
      </c>
      <c r="N16">
        <v>43</v>
      </c>
      <c r="O16">
        <v>1</v>
      </c>
      <c r="P16">
        <v>15</v>
      </c>
      <c r="Q16">
        <v>5</v>
      </c>
      <c r="R16">
        <f t="shared" si="6"/>
        <v>64</v>
      </c>
      <c r="S16" s="1" t="str">
        <f t="shared" si="2"/>
        <v>LAB</v>
      </c>
      <c r="T16" s="2" t="str">
        <f t="shared" si="3"/>
        <v>No change</v>
      </c>
      <c r="U16" t="str">
        <f t="shared" si="4"/>
        <v>No change</v>
      </c>
      <c r="V16" s="3">
        <f t="shared" si="7"/>
        <v>0</v>
      </c>
      <c r="W16" s="3">
        <f t="shared" si="5"/>
        <v>-9</v>
      </c>
      <c r="X16" s="3">
        <f t="shared" si="5"/>
        <v>1</v>
      </c>
      <c r="Y16" s="3">
        <f t="shared" si="5"/>
        <v>7</v>
      </c>
      <c r="Z16" s="3">
        <f t="shared" si="5"/>
        <v>1</v>
      </c>
    </row>
    <row r="17" spans="1:26" x14ac:dyDescent="0.2">
      <c r="A17" t="s">
        <v>194</v>
      </c>
      <c r="B17" t="s">
        <v>195</v>
      </c>
      <c r="D17" t="s">
        <v>167</v>
      </c>
      <c r="E17" t="s">
        <v>167</v>
      </c>
      <c r="F17">
        <v>10</v>
      </c>
      <c r="G17">
        <v>37</v>
      </c>
      <c r="H17">
        <v>1</v>
      </c>
      <c r="I17">
        <v>0</v>
      </c>
      <c r="J17">
        <v>2</v>
      </c>
      <c r="K17">
        <f t="shared" si="0"/>
        <v>50</v>
      </c>
      <c r="L17" s="1" t="str">
        <f t="shared" si="1"/>
        <v>LAB</v>
      </c>
      <c r="M17">
        <v>12</v>
      </c>
      <c r="N17">
        <v>31</v>
      </c>
      <c r="O17">
        <v>2</v>
      </c>
      <c r="P17">
        <v>0</v>
      </c>
      <c r="Q17">
        <v>5</v>
      </c>
      <c r="R17">
        <f t="shared" si="6"/>
        <v>50</v>
      </c>
      <c r="S17" s="1" t="str">
        <f t="shared" si="2"/>
        <v>LAB</v>
      </c>
      <c r="T17" s="2" t="str">
        <f t="shared" si="3"/>
        <v>No change</v>
      </c>
      <c r="U17" t="str">
        <f t="shared" si="4"/>
        <v>No change</v>
      </c>
      <c r="V17" s="3">
        <f t="shared" si="7"/>
        <v>2</v>
      </c>
      <c r="W17" s="3">
        <f t="shared" si="5"/>
        <v>-6</v>
      </c>
      <c r="X17" s="3">
        <f t="shared" si="5"/>
        <v>1</v>
      </c>
      <c r="Y17" s="3">
        <f t="shared" si="5"/>
        <v>0</v>
      </c>
      <c r="Z17" s="3">
        <f t="shared" si="5"/>
        <v>3</v>
      </c>
    </row>
    <row r="18" spans="1:26" x14ac:dyDescent="0.2">
      <c r="A18" s="8" t="s">
        <v>196</v>
      </c>
      <c r="B18" s="8" t="s">
        <v>197</v>
      </c>
      <c r="C18" s="8"/>
      <c r="D18" s="8" t="s">
        <v>167</v>
      </c>
      <c r="E18" s="8" t="s">
        <v>167</v>
      </c>
      <c r="F18" s="8">
        <v>3</v>
      </c>
      <c r="G18" s="8">
        <v>9</v>
      </c>
      <c r="H18" s="8">
        <v>1</v>
      </c>
      <c r="I18" s="8">
        <v>5</v>
      </c>
      <c r="J18" s="8">
        <v>42</v>
      </c>
      <c r="K18" s="8">
        <f t="shared" si="0"/>
        <v>60</v>
      </c>
      <c r="L18" s="9" t="str">
        <f t="shared" si="1"/>
        <v>Others</v>
      </c>
      <c r="M18" s="8">
        <v>11</v>
      </c>
      <c r="N18" s="8">
        <v>7</v>
      </c>
      <c r="O18" s="8">
        <v>1</v>
      </c>
      <c r="P18" s="8">
        <v>6</v>
      </c>
      <c r="Q18" s="8">
        <v>35</v>
      </c>
      <c r="R18" s="8">
        <f t="shared" si="6"/>
        <v>60</v>
      </c>
      <c r="S18" s="9" t="str">
        <f t="shared" si="2"/>
        <v>Others</v>
      </c>
      <c r="T18" s="2" t="str">
        <f t="shared" si="3"/>
        <v>No change</v>
      </c>
      <c r="U18" s="8" t="str">
        <f t="shared" si="4"/>
        <v>No change</v>
      </c>
      <c r="V18" s="3">
        <f t="shared" si="7"/>
        <v>8</v>
      </c>
      <c r="W18" s="3">
        <f t="shared" si="5"/>
        <v>-2</v>
      </c>
      <c r="X18" s="3">
        <f t="shared" si="5"/>
        <v>0</v>
      </c>
      <c r="Y18" s="3">
        <f t="shared" si="5"/>
        <v>1</v>
      </c>
      <c r="Z18" s="3">
        <f t="shared" si="5"/>
        <v>-7</v>
      </c>
    </row>
    <row r="19" spans="1:26" x14ac:dyDescent="0.2">
      <c r="A19" s="8" t="s">
        <v>198</v>
      </c>
      <c r="B19" s="8" t="s">
        <v>199</v>
      </c>
      <c r="C19" s="8"/>
      <c r="D19" s="8" t="s">
        <v>167</v>
      </c>
      <c r="E19" s="8" t="s">
        <v>167</v>
      </c>
      <c r="F19" s="8">
        <v>10</v>
      </c>
      <c r="G19" s="8">
        <v>6</v>
      </c>
      <c r="H19" s="8">
        <v>9</v>
      </c>
      <c r="I19" s="8">
        <v>0</v>
      </c>
      <c r="J19" s="8">
        <v>48</v>
      </c>
      <c r="K19" s="8">
        <f>SUM(F19:J19)</f>
        <v>73</v>
      </c>
      <c r="L19" s="9" t="str">
        <f t="shared" si="1"/>
        <v>Others</v>
      </c>
      <c r="M19" s="8">
        <v>19</v>
      </c>
      <c r="N19" s="8">
        <v>7</v>
      </c>
      <c r="O19" s="8">
        <v>13</v>
      </c>
      <c r="P19" s="8">
        <v>2</v>
      </c>
      <c r="Q19" s="8">
        <v>31</v>
      </c>
      <c r="R19" s="8">
        <f t="shared" si="6"/>
        <v>72</v>
      </c>
      <c r="S19" s="9" t="str">
        <f t="shared" si="2"/>
        <v>NOC</v>
      </c>
      <c r="T19" s="2" t="str">
        <f t="shared" si="3"/>
        <v>Others loss to NOC</v>
      </c>
      <c r="U19" s="8" t="str">
        <f t="shared" si="4"/>
        <v>NOC gain from Others</v>
      </c>
      <c r="V19" s="3">
        <f t="shared" si="7"/>
        <v>9</v>
      </c>
      <c r="W19" s="3">
        <f t="shared" si="7"/>
        <v>1</v>
      </c>
      <c r="X19" s="3">
        <f t="shared" si="7"/>
        <v>4</v>
      </c>
      <c r="Y19" s="3">
        <f t="shared" si="7"/>
        <v>2</v>
      </c>
      <c r="Z19" s="3">
        <f t="shared" si="7"/>
        <v>-17</v>
      </c>
    </row>
    <row r="20" spans="1:26" x14ac:dyDescent="0.2">
      <c r="A20" t="s">
        <v>200</v>
      </c>
      <c r="B20" t="s">
        <v>201</v>
      </c>
      <c r="D20" t="s">
        <v>167</v>
      </c>
      <c r="E20" t="s">
        <v>167</v>
      </c>
      <c r="F20">
        <v>1</v>
      </c>
      <c r="G20">
        <v>60</v>
      </c>
      <c r="H20">
        <v>1</v>
      </c>
      <c r="I20">
        <v>9</v>
      </c>
      <c r="J20">
        <v>4</v>
      </c>
      <c r="K20">
        <f t="shared" si="0"/>
        <v>75</v>
      </c>
      <c r="L20" s="1" t="str">
        <f t="shared" si="1"/>
        <v>LAB</v>
      </c>
      <c r="M20">
        <v>4</v>
      </c>
      <c r="N20">
        <v>47</v>
      </c>
      <c r="O20">
        <v>1</v>
      </c>
      <c r="P20">
        <v>18</v>
      </c>
      <c r="Q20">
        <v>5</v>
      </c>
      <c r="R20">
        <f t="shared" si="6"/>
        <v>75</v>
      </c>
      <c r="S20" s="1" t="str">
        <f t="shared" si="2"/>
        <v>LAB</v>
      </c>
      <c r="T20" s="2" t="str">
        <f t="shared" si="3"/>
        <v>No change</v>
      </c>
      <c r="U20" t="str">
        <f t="shared" si="4"/>
        <v>No change</v>
      </c>
      <c r="V20" s="3">
        <f t="shared" si="7"/>
        <v>3</v>
      </c>
      <c r="W20" s="3">
        <f t="shared" si="7"/>
        <v>-13</v>
      </c>
      <c r="X20" s="3">
        <f t="shared" si="7"/>
        <v>0</v>
      </c>
      <c r="Y20" s="3">
        <f t="shared" si="7"/>
        <v>9</v>
      </c>
      <c r="Z20" s="3">
        <f t="shared" si="7"/>
        <v>1</v>
      </c>
    </row>
    <row r="21" spans="1:26" x14ac:dyDescent="0.2">
      <c r="A21" t="s">
        <v>202</v>
      </c>
      <c r="B21" t="s">
        <v>203</v>
      </c>
      <c r="D21" t="s">
        <v>167</v>
      </c>
      <c r="E21" t="s">
        <v>167</v>
      </c>
      <c r="F21">
        <v>4</v>
      </c>
      <c r="G21">
        <v>49</v>
      </c>
      <c r="H21">
        <v>12</v>
      </c>
      <c r="I21">
        <v>0</v>
      </c>
      <c r="J21">
        <v>7</v>
      </c>
      <c r="K21">
        <f t="shared" si="0"/>
        <v>72</v>
      </c>
      <c r="L21" s="1" t="str">
        <f t="shared" si="1"/>
        <v>LAB</v>
      </c>
      <c r="M21">
        <v>8</v>
      </c>
      <c r="N21">
        <v>48</v>
      </c>
      <c r="O21">
        <v>7</v>
      </c>
      <c r="P21">
        <v>0</v>
      </c>
      <c r="Q21">
        <v>9</v>
      </c>
      <c r="R21">
        <f t="shared" si="6"/>
        <v>72</v>
      </c>
      <c r="S21" s="1" t="str">
        <f t="shared" si="2"/>
        <v>LAB</v>
      </c>
      <c r="T21" s="2" t="str">
        <f t="shared" si="3"/>
        <v>No change</v>
      </c>
      <c r="U21" t="str">
        <f t="shared" si="4"/>
        <v>No change</v>
      </c>
      <c r="V21" s="3">
        <f t="shared" si="7"/>
        <v>4</v>
      </c>
      <c r="W21" s="3">
        <f t="shared" si="7"/>
        <v>-1</v>
      </c>
      <c r="X21" s="3">
        <f t="shared" si="7"/>
        <v>-5</v>
      </c>
      <c r="Y21" s="3">
        <f t="shared" si="7"/>
        <v>0</v>
      </c>
      <c r="Z21" s="3">
        <f t="shared" si="7"/>
        <v>2</v>
      </c>
    </row>
    <row r="22" spans="1:26" x14ac:dyDescent="0.2">
      <c r="A22" t="s">
        <v>204</v>
      </c>
      <c r="B22" s="8" t="s">
        <v>205</v>
      </c>
      <c r="C22" s="8"/>
      <c r="D22" t="s">
        <v>167</v>
      </c>
      <c r="E22" t="s">
        <v>167</v>
      </c>
      <c r="F22">
        <v>4</v>
      </c>
      <c r="G22">
        <v>29</v>
      </c>
      <c r="H22">
        <v>0</v>
      </c>
      <c r="I22">
        <v>2</v>
      </c>
      <c r="J22">
        <v>9</v>
      </c>
      <c r="K22">
        <f t="shared" si="0"/>
        <v>44</v>
      </c>
      <c r="L22" s="1" t="str">
        <f t="shared" si="1"/>
        <v>LAB</v>
      </c>
      <c r="M22">
        <v>4</v>
      </c>
      <c r="N22">
        <v>29</v>
      </c>
      <c r="O22">
        <v>0</v>
      </c>
      <c r="P22">
        <v>0</v>
      </c>
      <c r="Q22">
        <v>11</v>
      </c>
      <c r="R22">
        <f t="shared" si="6"/>
        <v>44</v>
      </c>
      <c r="S22" s="1" t="str">
        <f t="shared" si="2"/>
        <v>LAB</v>
      </c>
      <c r="T22" s="2" t="str">
        <f t="shared" si="3"/>
        <v>No change</v>
      </c>
      <c r="U22" t="str">
        <f t="shared" si="4"/>
        <v>No change</v>
      </c>
      <c r="V22" s="3">
        <f t="shared" si="7"/>
        <v>0</v>
      </c>
      <c r="W22" s="3">
        <f t="shared" si="7"/>
        <v>0</v>
      </c>
      <c r="X22" s="3">
        <f t="shared" si="7"/>
        <v>0</v>
      </c>
      <c r="Y22" s="3">
        <f t="shared" si="7"/>
        <v>-2</v>
      </c>
      <c r="Z22" s="3">
        <f t="shared" si="7"/>
        <v>2</v>
      </c>
    </row>
    <row r="23" spans="1:26" x14ac:dyDescent="0.2">
      <c r="A23" t="s">
        <v>206</v>
      </c>
      <c r="B23" t="s">
        <v>207</v>
      </c>
      <c r="D23" t="s">
        <v>167</v>
      </c>
      <c r="E23" t="s">
        <v>167</v>
      </c>
      <c r="F23">
        <v>11</v>
      </c>
      <c r="G23">
        <v>22</v>
      </c>
      <c r="H23">
        <v>0</v>
      </c>
      <c r="I23">
        <v>6</v>
      </c>
      <c r="J23">
        <v>8</v>
      </c>
      <c r="K23">
        <f t="shared" si="0"/>
        <v>47</v>
      </c>
      <c r="L23" s="1" t="str">
        <f t="shared" si="1"/>
        <v>NOC</v>
      </c>
      <c r="M23">
        <v>23</v>
      </c>
      <c r="N23">
        <v>14</v>
      </c>
      <c r="O23">
        <v>0</v>
      </c>
      <c r="P23">
        <v>4</v>
      </c>
      <c r="Q23">
        <v>6</v>
      </c>
      <c r="R23">
        <f t="shared" si="6"/>
        <v>47</v>
      </c>
      <c r="S23" s="1" t="str">
        <f t="shared" si="2"/>
        <v>NOC</v>
      </c>
      <c r="T23" s="2" t="str">
        <f t="shared" si="3"/>
        <v>No change</v>
      </c>
      <c r="U23" t="str">
        <f t="shared" si="4"/>
        <v>No change</v>
      </c>
      <c r="V23" s="3">
        <f t="shared" si="7"/>
        <v>12</v>
      </c>
      <c r="W23" s="3">
        <f t="shared" si="7"/>
        <v>-8</v>
      </c>
      <c r="X23" s="3">
        <f t="shared" si="7"/>
        <v>0</v>
      </c>
      <c r="Y23" s="3">
        <f t="shared" si="7"/>
        <v>-2</v>
      </c>
      <c r="Z23" s="3">
        <f t="shared" si="7"/>
        <v>-2</v>
      </c>
    </row>
    <row r="24" spans="1:26" x14ac:dyDescent="0.2">
      <c r="A24" t="s">
        <v>208</v>
      </c>
      <c r="B24" t="s">
        <v>209</v>
      </c>
      <c r="D24" t="s">
        <v>167</v>
      </c>
      <c r="E24" t="s">
        <v>167</v>
      </c>
      <c r="F24">
        <v>5</v>
      </c>
      <c r="G24">
        <v>23</v>
      </c>
      <c r="H24">
        <v>4</v>
      </c>
      <c r="I24">
        <v>1</v>
      </c>
      <c r="J24">
        <v>19</v>
      </c>
      <c r="K24">
        <f t="shared" si="0"/>
        <v>52</v>
      </c>
      <c r="L24" s="1" t="str">
        <f t="shared" si="1"/>
        <v>NOC</v>
      </c>
      <c r="M24">
        <v>9</v>
      </c>
      <c r="N24">
        <v>12</v>
      </c>
      <c r="O24">
        <v>2</v>
      </c>
      <c r="P24">
        <v>3</v>
      </c>
      <c r="Q24">
        <v>26</v>
      </c>
      <c r="R24">
        <f t="shared" si="6"/>
        <v>52</v>
      </c>
      <c r="S24" s="1" t="str">
        <f t="shared" si="2"/>
        <v>NOC</v>
      </c>
      <c r="T24" s="2" t="str">
        <f t="shared" si="3"/>
        <v>No change</v>
      </c>
      <c r="U24" t="str">
        <f t="shared" si="4"/>
        <v>No change</v>
      </c>
      <c r="V24" s="3">
        <f t="shared" si="7"/>
        <v>4</v>
      </c>
      <c r="W24" s="3">
        <f t="shared" si="7"/>
        <v>-11</v>
      </c>
      <c r="X24" s="3">
        <f t="shared" si="7"/>
        <v>-2</v>
      </c>
      <c r="Y24" s="3">
        <f t="shared" si="7"/>
        <v>2</v>
      </c>
      <c r="Z24" s="3">
        <f t="shared" si="7"/>
        <v>7</v>
      </c>
    </row>
  </sheetData>
  <mergeCells count="4">
    <mergeCell ref="F1:K1"/>
    <mergeCell ref="M1:R1"/>
    <mergeCell ref="T1:U1"/>
    <mergeCell ref="V1: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workbookViewId="0">
      <selection activeCell="Q27" sqref="Q27"/>
    </sheetView>
  </sheetViews>
  <sheetFormatPr defaultRowHeight="11.25" x14ac:dyDescent="0.2"/>
  <cols>
    <col min="1" max="1" width="19.1640625" style="16" bestFit="1" customWidth="1"/>
    <col min="2" max="2" width="14" style="16" bestFit="1" customWidth="1"/>
    <col min="3" max="3" width="37.5" style="16" bestFit="1" customWidth="1"/>
    <col min="4" max="4" width="37.5" style="16" customWidth="1"/>
    <col min="5" max="5" width="18.6640625" style="16" bestFit="1" customWidth="1"/>
    <col min="6" max="6" width="36.6640625" style="16" bestFit="1" customWidth="1"/>
    <col min="7" max="7" width="9.33203125" style="20"/>
    <col min="8" max="8" width="11.6640625" style="16" bestFit="1" customWidth="1"/>
    <col min="9" max="11" width="9.33203125" style="16"/>
    <col min="12" max="12" width="9.33203125" style="21"/>
    <col min="13" max="16384" width="9.33203125" style="16"/>
  </cols>
  <sheetData>
    <row r="1" spans="1:13" x14ac:dyDescent="0.2">
      <c r="A1" s="13" t="s">
        <v>210</v>
      </c>
      <c r="B1" s="13" t="s">
        <v>211</v>
      </c>
      <c r="C1" s="13" t="s">
        <v>212</v>
      </c>
      <c r="D1" s="13" t="s">
        <v>213</v>
      </c>
      <c r="E1" s="13" t="s">
        <v>214</v>
      </c>
      <c r="F1" s="13" t="s">
        <v>215</v>
      </c>
      <c r="G1" s="14" t="s">
        <v>216</v>
      </c>
      <c r="H1" s="13" t="s">
        <v>217</v>
      </c>
      <c r="I1" s="13" t="s">
        <v>218</v>
      </c>
      <c r="J1" s="13" t="s">
        <v>219</v>
      </c>
      <c r="K1" s="13" t="s">
        <v>220</v>
      </c>
      <c r="L1" s="15" t="s">
        <v>221</v>
      </c>
    </row>
    <row r="2" spans="1:13" x14ac:dyDescent="0.2">
      <c r="A2" s="13" t="s">
        <v>222</v>
      </c>
      <c r="B2" s="13" t="s">
        <v>95</v>
      </c>
      <c r="C2" s="13" t="s">
        <v>96</v>
      </c>
      <c r="D2" s="13" t="s">
        <v>223</v>
      </c>
      <c r="E2" s="13" t="s">
        <v>224</v>
      </c>
      <c r="F2" s="13" t="s">
        <v>225</v>
      </c>
      <c r="G2" s="14"/>
      <c r="H2" s="17">
        <v>221789</v>
      </c>
      <c r="I2" s="17">
        <v>13575</v>
      </c>
      <c r="J2" s="13"/>
      <c r="K2" s="13"/>
      <c r="L2" s="15">
        <v>0.2889232558873524</v>
      </c>
    </row>
    <row r="3" spans="1:13" x14ac:dyDescent="0.2">
      <c r="A3" s="13" t="s">
        <v>222</v>
      </c>
      <c r="B3" s="13" t="s">
        <v>226</v>
      </c>
      <c r="C3" s="13" t="s">
        <v>96</v>
      </c>
      <c r="D3" s="13" t="s">
        <v>223</v>
      </c>
      <c r="E3" s="13" t="s">
        <v>227</v>
      </c>
      <c r="F3" s="13" t="s">
        <v>228</v>
      </c>
      <c r="G3" s="14">
        <v>1</v>
      </c>
      <c r="H3" s="17">
        <v>221789</v>
      </c>
      <c r="I3" s="17">
        <v>32631</v>
      </c>
      <c r="J3" s="13"/>
      <c r="K3" s="13"/>
      <c r="L3" s="15">
        <v>0.2889232558873524</v>
      </c>
    </row>
    <row r="4" spans="1:13" x14ac:dyDescent="0.2">
      <c r="A4" s="13" t="s">
        <v>222</v>
      </c>
      <c r="B4" s="13" t="s">
        <v>229</v>
      </c>
      <c r="C4" s="13" t="s">
        <v>96</v>
      </c>
      <c r="D4" s="13" t="s">
        <v>223</v>
      </c>
      <c r="E4" s="13" t="s">
        <v>230</v>
      </c>
      <c r="F4" s="13" t="s">
        <v>231</v>
      </c>
      <c r="G4" s="14"/>
      <c r="H4" s="17">
        <v>221789</v>
      </c>
      <c r="I4" s="17">
        <v>5344</v>
      </c>
      <c r="J4" s="13"/>
      <c r="K4" s="13"/>
      <c r="L4" s="15">
        <v>0.2889232558873524</v>
      </c>
    </row>
    <row r="5" spans="1:13" x14ac:dyDescent="0.2">
      <c r="A5" s="13" t="s">
        <v>222</v>
      </c>
      <c r="B5" s="13" t="s">
        <v>232</v>
      </c>
      <c r="C5" s="13" t="s">
        <v>96</v>
      </c>
      <c r="D5" s="13" t="s">
        <v>223</v>
      </c>
      <c r="E5" s="13" t="s">
        <v>233</v>
      </c>
      <c r="F5" s="13" t="s">
        <v>12</v>
      </c>
      <c r="G5" s="14"/>
      <c r="H5" s="17">
        <v>221789</v>
      </c>
      <c r="I5" s="17">
        <v>7764</v>
      </c>
      <c r="J5" s="13"/>
      <c r="K5" s="13"/>
      <c r="L5" s="15">
        <v>0.2889232558873524</v>
      </c>
    </row>
    <row r="6" spans="1:13" x14ac:dyDescent="0.2">
      <c r="A6" s="13" t="s">
        <v>222</v>
      </c>
      <c r="B6" s="13" t="s">
        <v>234</v>
      </c>
      <c r="C6" s="13" t="s">
        <v>96</v>
      </c>
      <c r="D6" s="13" t="s">
        <v>223</v>
      </c>
      <c r="E6" s="13" t="s">
        <v>235</v>
      </c>
      <c r="F6" s="13" t="s">
        <v>236</v>
      </c>
      <c r="G6" s="14"/>
      <c r="H6" s="17">
        <v>221789</v>
      </c>
      <c r="I6" s="17">
        <v>3235</v>
      </c>
      <c r="J6" s="13"/>
      <c r="K6" s="13"/>
      <c r="L6" s="15">
        <v>0.2889232558873524</v>
      </c>
    </row>
    <row r="7" spans="1:13" x14ac:dyDescent="0.2">
      <c r="A7" s="13" t="s">
        <v>222</v>
      </c>
      <c r="B7" s="13" t="s">
        <v>237</v>
      </c>
      <c r="C7" s="13" t="s">
        <v>96</v>
      </c>
      <c r="D7" s="13" t="s">
        <v>223</v>
      </c>
      <c r="E7" s="13" t="s">
        <v>238</v>
      </c>
      <c r="F7" s="13" t="s">
        <v>239</v>
      </c>
      <c r="G7" s="14"/>
      <c r="H7" s="17">
        <v>221789</v>
      </c>
      <c r="I7" s="17">
        <v>1531</v>
      </c>
      <c r="J7" s="13"/>
      <c r="K7" s="13"/>
      <c r="L7" s="15">
        <v>0.2889232558873524</v>
      </c>
    </row>
    <row r="8" spans="1:13" x14ac:dyDescent="0.2">
      <c r="A8" s="13" t="s">
        <v>222</v>
      </c>
      <c r="B8" s="13" t="s">
        <v>237</v>
      </c>
      <c r="C8" s="13" t="s">
        <v>240</v>
      </c>
      <c r="D8" s="13" t="s">
        <v>223</v>
      </c>
      <c r="E8" s="13" t="s">
        <v>241</v>
      </c>
      <c r="F8" s="13" t="s">
        <v>242</v>
      </c>
      <c r="G8" s="14"/>
      <c r="H8" s="17">
        <v>154480</v>
      </c>
      <c r="I8" s="17">
        <v>3537</v>
      </c>
      <c r="J8" s="13"/>
      <c r="K8" s="13"/>
      <c r="L8" s="15">
        <v>0.34100000000000003</v>
      </c>
      <c r="M8" s="13"/>
    </row>
    <row r="9" spans="1:13" x14ac:dyDescent="0.2">
      <c r="A9" s="13" t="s">
        <v>222</v>
      </c>
      <c r="B9" s="13" t="s">
        <v>243</v>
      </c>
      <c r="C9" s="13" t="s">
        <v>240</v>
      </c>
      <c r="D9" s="13" t="s">
        <v>223</v>
      </c>
      <c r="E9" s="13" t="s">
        <v>244</v>
      </c>
      <c r="F9" s="13" t="s">
        <v>225</v>
      </c>
      <c r="G9" s="14"/>
      <c r="H9" s="17">
        <v>154480</v>
      </c>
      <c r="I9" s="17">
        <v>16164</v>
      </c>
      <c r="J9" s="13"/>
      <c r="K9" s="13"/>
      <c r="L9" s="15">
        <v>0.34100000000000003</v>
      </c>
      <c r="M9" s="13"/>
    </row>
    <row r="10" spans="1:13" x14ac:dyDescent="0.2">
      <c r="A10" s="13" t="s">
        <v>222</v>
      </c>
      <c r="B10" s="13" t="s">
        <v>245</v>
      </c>
      <c r="C10" s="13" t="s">
        <v>240</v>
      </c>
      <c r="D10" s="13" t="s">
        <v>223</v>
      </c>
      <c r="E10" s="13" t="s">
        <v>246</v>
      </c>
      <c r="F10" s="13" t="s">
        <v>12</v>
      </c>
      <c r="G10" s="14"/>
      <c r="H10" s="17">
        <v>154480</v>
      </c>
      <c r="I10" s="17">
        <v>3248</v>
      </c>
      <c r="J10" s="13"/>
      <c r="K10" s="13"/>
      <c r="L10" s="15">
        <v>0.34100000000000003</v>
      </c>
      <c r="M10" s="13"/>
    </row>
    <row r="11" spans="1:13" x14ac:dyDescent="0.2">
      <c r="A11" s="13" t="s">
        <v>222</v>
      </c>
      <c r="B11" s="13" t="s">
        <v>247</v>
      </c>
      <c r="C11" s="13" t="s">
        <v>240</v>
      </c>
      <c r="D11" s="13" t="s">
        <v>223</v>
      </c>
      <c r="E11" s="13" t="s">
        <v>248</v>
      </c>
      <c r="F11" s="13" t="s">
        <v>228</v>
      </c>
      <c r="G11" s="14">
        <v>1</v>
      </c>
      <c r="H11" s="17">
        <v>154480</v>
      </c>
      <c r="I11" s="17">
        <v>29655</v>
      </c>
      <c r="J11" s="13"/>
      <c r="K11" s="13"/>
      <c r="L11" s="15">
        <v>0.34100000000000003</v>
      </c>
      <c r="M11" s="13"/>
    </row>
    <row r="12" spans="1:13" x14ac:dyDescent="0.2">
      <c r="A12" s="13" t="s">
        <v>249</v>
      </c>
      <c r="B12" s="13" t="s">
        <v>250</v>
      </c>
      <c r="C12" s="18" t="s">
        <v>251</v>
      </c>
      <c r="D12" s="13" t="s">
        <v>252</v>
      </c>
      <c r="E12" s="13" t="s">
        <v>253</v>
      </c>
      <c r="F12" s="13" t="s">
        <v>12</v>
      </c>
      <c r="G12" s="14"/>
      <c r="H12" s="19">
        <v>608808</v>
      </c>
      <c r="I12" s="17">
        <v>15931</v>
      </c>
      <c r="J12" s="17"/>
      <c r="K12" s="17"/>
      <c r="L12" s="15">
        <v>0.32913168026701356</v>
      </c>
    </row>
    <row r="13" spans="1:13" x14ac:dyDescent="0.2">
      <c r="A13" s="13" t="s">
        <v>249</v>
      </c>
      <c r="B13" s="13" t="s">
        <v>250</v>
      </c>
      <c r="C13" s="18" t="s">
        <v>251</v>
      </c>
      <c r="D13" s="13" t="s">
        <v>252</v>
      </c>
      <c r="E13" s="13" t="s">
        <v>254</v>
      </c>
      <c r="F13" s="13" t="s">
        <v>242</v>
      </c>
      <c r="G13" s="14"/>
      <c r="H13" s="19">
        <v>608808</v>
      </c>
      <c r="I13" s="17">
        <v>47026</v>
      </c>
      <c r="J13" s="17">
        <f>K13-I13</f>
        <v>20179</v>
      </c>
      <c r="K13" s="17">
        <v>67205</v>
      </c>
      <c r="L13" s="15">
        <v>0.32913168026701356</v>
      </c>
    </row>
    <row r="14" spans="1:13" x14ac:dyDescent="0.2">
      <c r="A14" s="13" t="s">
        <v>249</v>
      </c>
      <c r="B14" s="13" t="s">
        <v>250</v>
      </c>
      <c r="C14" s="18" t="s">
        <v>251</v>
      </c>
      <c r="D14" s="13" t="s">
        <v>252</v>
      </c>
      <c r="E14" s="13" t="s">
        <v>255</v>
      </c>
      <c r="F14" s="13" t="s">
        <v>231</v>
      </c>
      <c r="G14" s="14"/>
      <c r="H14" s="19">
        <v>608808</v>
      </c>
      <c r="I14" s="17">
        <v>9176</v>
      </c>
      <c r="J14" s="17"/>
      <c r="K14" s="17"/>
      <c r="L14" s="15">
        <v>0.32913168026701356</v>
      </c>
    </row>
    <row r="15" spans="1:13" x14ac:dyDescent="0.2">
      <c r="A15" s="13" t="s">
        <v>249</v>
      </c>
      <c r="B15" s="13" t="s">
        <v>250</v>
      </c>
      <c r="C15" s="18" t="s">
        <v>251</v>
      </c>
      <c r="D15" s="13" t="s">
        <v>252</v>
      </c>
      <c r="E15" s="13" t="s">
        <v>256</v>
      </c>
      <c r="F15" s="13" t="s">
        <v>257</v>
      </c>
      <c r="G15" s="14"/>
      <c r="H15" s="19">
        <v>608808</v>
      </c>
      <c r="I15" s="17">
        <v>2256</v>
      </c>
      <c r="J15" s="17"/>
      <c r="K15" s="17"/>
      <c r="L15" s="15">
        <v>0.32913168026701356</v>
      </c>
    </row>
    <row r="16" spans="1:13" x14ac:dyDescent="0.2">
      <c r="A16" s="13" t="s">
        <v>249</v>
      </c>
      <c r="B16" s="13" t="s">
        <v>250</v>
      </c>
      <c r="C16" s="18" t="s">
        <v>251</v>
      </c>
      <c r="D16" s="13" t="s">
        <v>252</v>
      </c>
      <c r="E16" s="13" t="s">
        <v>258</v>
      </c>
      <c r="F16" s="13" t="s">
        <v>259</v>
      </c>
      <c r="G16" s="14">
        <v>1</v>
      </c>
      <c r="H16" s="19">
        <v>608808</v>
      </c>
      <c r="I16" s="17">
        <v>12628</v>
      </c>
      <c r="J16" s="17"/>
      <c r="K16" s="17"/>
      <c r="L16" s="15">
        <v>0.32913168026701356</v>
      </c>
    </row>
    <row r="17" spans="1:12" x14ac:dyDescent="0.2">
      <c r="A17" s="13" t="s">
        <v>249</v>
      </c>
      <c r="B17" s="13" t="s">
        <v>250</v>
      </c>
      <c r="C17" s="18" t="s">
        <v>251</v>
      </c>
      <c r="D17" s="13" t="s">
        <v>252</v>
      </c>
      <c r="E17" s="13" t="s">
        <v>260</v>
      </c>
      <c r="F17" s="13" t="s">
        <v>225</v>
      </c>
      <c r="G17" s="14"/>
      <c r="H17" s="19">
        <v>608808</v>
      </c>
      <c r="I17" s="17">
        <v>76064</v>
      </c>
      <c r="J17" s="17">
        <f>K17-I17</f>
        <v>12762</v>
      </c>
      <c r="K17" s="17">
        <v>88826</v>
      </c>
      <c r="L17" s="15">
        <v>0.32913168026701356</v>
      </c>
    </row>
    <row r="18" spans="1:12" x14ac:dyDescent="0.2">
      <c r="A18" s="13" t="s">
        <v>249</v>
      </c>
      <c r="B18" s="13" t="s">
        <v>250</v>
      </c>
      <c r="C18" s="18" t="s">
        <v>251</v>
      </c>
      <c r="D18" s="13" t="s">
        <v>252</v>
      </c>
      <c r="E18" s="13" t="s">
        <v>261</v>
      </c>
      <c r="F18" s="13" t="s">
        <v>228</v>
      </c>
      <c r="G18" s="14"/>
      <c r="H18" s="19">
        <v>608808</v>
      </c>
      <c r="I18" s="17">
        <v>37297</v>
      </c>
      <c r="J18" s="17"/>
      <c r="K18" s="17"/>
      <c r="L18" s="15">
        <v>0.32913168026701356</v>
      </c>
    </row>
    <row r="19" spans="1:12" x14ac:dyDescent="0.2">
      <c r="A19" s="13" t="s">
        <v>249</v>
      </c>
      <c r="B19" s="13" t="s">
        <v>262</v>
      </c>
      <c r="C19" s="13" t="s">
        <v>263</v>
      </c>
      <c r="D19" s="13" t="s">
        <v>252</v>
      </c>
      <c r="E19" s="13" t="s">
        <v>264</v>
      </c>
      <c r="F19" s="13" t="s">
        <v>225</v>
      </c>
      <c r="G19" s="14"/>
      <c r="H19" s="17">
        <v>1982343</v>
      </c>
      <c r="I19" s="17">
        <v>128752</v>
      </c>
      <c r="J19" s="17"/>
      <c r="K19" s="17"/>
      <c r="L19" s="15">
        <v>0.2858914930463598</v>
      </c>
    </row>
    <row r="20" spans="1:12" x14ac:dyDescent="0.2">
      <c r="A20" s="13" t="s">
        <v>249</v>
      </c>
      <c r="B20" s="13" t="s">
        <v>262</v>
      </c>
      <c r="C20" s="13" t="s">
        <v>263</v>
      </c>
      <c r="D20" s="13" t="s">
        <v>252</v>
      </c>
      <c r="E20" s="13" t="s">
        <v>265</v>
      </c>
      <c r="F20" s="13" t="s">
        <v>231</v>
      </c>
      <c r="G20" s="14"/>
      <c r="H20" s="17">
        <v>1982343</v>
      </c>
      <c r="I20" s="17">
        <v>5815</v>
      </c>
      <c r="J20" s="17"/>
      <c r="K20" s="17"/>
      <c r="L20" s="15">
        <v>0.2858914930463598</v>
      </c>
    </row>
    <row r="21" spans="1:12" x14ac:dyDescent="0.2">
      <c r="A21" s="13" t="s">
        <v>249</v>
      </c>
      <c r="B21" s="13" t="s">
        <v>262</v>
      </c>
      <c r="C21" s="13" t="s">
        <v>263</v>
      </c>
      <c r="D21" s="13" t="s">
        <v>252</v>
      </c>
      <c r="E21" s="13" t="s">
        <v>266</v>
      </c>
      <c r="F21" s="13" t="s">
        <v>242</v>
      </c>
      <c r="G21" s="14">
        <v>1</v>
      </c>
      <c r="H21" s="17">
        <v>1982343</v>
      </c>
      <c r="I21" s="17">
        <v>34334</v>
      </c>
      <c r="J21" s="17"/>
      <c r="K21" s="17"/>
      <c r="L21" s="15">
        <v>0.2858914930463598</v>
      </c>
    </row>
    <row r="22" spans="1:12" x14ac:dyDescent="0.2">
      <c r="A22" s="13" t="s">
        <v>249</v>
      </c>
      <c r="B22" s="13" t="s">
        <v>262</v>
      </c>
      <c r="C22" s="13" t="s">
        <v>263</v>
      </c>
      <c r="D22" s="13" t="s">
        <v>252</v>
      </c>
      <c r="E22" s="13" t="s">
        <v>267</v>
      </c>
      <c r="F22" s="13" t="s">
        <v>228</v>
      </c>
      <c r="G22" s="14"/>
      <c r="H22" s="17">
        <v>1982343</v>
      </c>
      <c r="I22" s="17">
        <v>359352</v>
      </c>
      <c r="J22" s="17"/>
      <c r="K22" s="17"/>
      <c r="L22" s="15">
        <v>0.2858914930463598</v>
      </c>
    </row>
    <row r="23" spans="1:12" x14ac:dyDescent="0.2">
      <c r="A23" s="13" t="s">
        <v>249</v>
      </c>
      <c r="B23" s="13" t="s">
        <v>262</v>
      </c>
      <c r="C23" s="13" t="s">
        <v>263</v>
      </c>
      <c r="D23" s="13" t="s">
        <v>252</v>
      </c>
      <c r="E23" s="13" t="s">
        <v>268</v>
      </c>
      <c r="F23" s="13" t="s">
        <v>231</v>
      </c>
      <c r="G23" s="14"/>
      <c r="H23" s="17">
        <v>1982343</v>
      </c>
      <c r="I23" s="17">
        <v>3360</v>
      </c>
      <c r="J23" s="17"/>
      <c r="K23" s="17"/>
      <c r="L23" s="15">
        <v>0.2858914930463598</v>
      </c>
    </row>
    <row r="24" spans="1:12" x14ac:dyDescent="0.2">
      <c r="A24" s="13" t="s">
        <v>249</v>
      </c>
      <c r="B24" s="13" t="s">
        <v>262</v>
      </c>
      <c r="C24" s="13" t="s">
        <v>263</v>
      </c>
      <c r="D24" s="13" t="s">
        <v>252</v>
      </c>
      <c r="E24" s="13" t="s">
        <v>269</v>
      </c>
      <c r="F24" s="13" t="s">
        <v>257</v>
      </c>
      <c r="G24" s="14"/>
      <c r="H24" s="17">
        <v>1982343</v>
      </c>
      <c r="I24" s="17">
        <v>11115</v>
      </c>
      <c r="J24" s="17"/>
      <c r="K24" s="17"/>
      <c r="L24" s="15">
        <v>0.2858914930463598</v>
      </c>
    </row>
    <row r="25" spans="1:12" x14ac:dyDescent="0.2">
      <c r="A25" s="13" t="s">
        <v>249</v>
      </c>
      <c r="B25" s="13" t="s">
        <v>262</v>
      </c>
      <c r="C25" s="13" t="s">
        <v>263</v>
      </c>
      <c r="D25" s="13" t="s">
        <v>252</v>
      </c>
      <c r="E25" s="13" t="s">
        <v>270</v>
      </c>
      <c r="F25" s="13" t="s">
        <v>12</v>
      </c>
      <c r="G25" s="14"/>
      <c r="H25" s="17">
        <v>1982343</v>
      </c>
      <c r="I25" s="17">
        <v>10583</v>
      </c>
      <c r="J25" s="17"/>
      <c r="K25" s="17"/>
      <c r="L25" s="15">
        <v>0.2858914930463598</v>
      </c>
    </row>
    <row r="26" spans="1:12" x14ac:dyDescent="0.2">
      <c r="A26" s="13" t="s">
        <v>249</v>
      </c>
      <c r="B26" s="13" t="s">
        <v>262</v>
      </c>
      <c r="C26" s="13" t="s">
        <v>263</v>
      </c>
      <c r="D26" s="13" t="s">
        <v>252</v>
      </c>
      <c r="E26" s="13" t="s">
        <v>271</v>
      </c>
      <c r="F26" s="13" t="s">
        <v>259</v>
      </c>
      <c r="G26" s="14"/>
      <c r="H26" s="17">
        <v>1982343</v>
      </c>
      <c r="I26" s="17">
        <v>13424</v>
      </c>
      <c r="J26" s="17"/>
      <c r="K26" s="17"/>
      <c r="L26" s="15">
        <v>0.2858914930463598</v>
      </c>
    </row>
    <row r="27" spans="1:12" x14ac:dyDescent="0.2">
      <c r="A27" s="13" t="s">
        <v>249</v>
      </c>
      <c r="B27" s="13" t="s">
        <v>272</v>
      </c>
      <c r="C27" s="18" t="s">
        <v>273</v>
      </c>
      <c r="D27" s="13" t="s">
        <v>252</v>
      </c>
      <c r="E27" s="13" t="s">
        <v>274</v>
      </c>
      <c r="F27" s="13" t="s">
        <v>275</v>
      </c>
      <c r="G27" s="14"/>
      <c r="H27" s="19">
        <v>1116495</v>
      </c>
      <c r="I27" s="17">
        <v>7881</v>
      </c>
      <c r="J27" s="17"/>
      <c r="K27" s="17"/>
      <c r="L27" s="15">
        <v>0.25854123842919136</v>
      </c>
    </row>
    <row r="28" spans="1:12" x14ac:dyDescent="0.2">
      <c r="A28" s="13" t="s">
        <v>249</v>
      </c>
      <c r="B28" s="13" t="s">
        <v>272</v>
      </c>
      <c r="C28" s="18" t="s">
        <v>273</v>
      </c>
      <c r="D28" s="13" t="s">
        <v>252</v>
      </c>
      <c r="E28" s="13" t="s">
        <v>276</v>
      </c>
      <c r="F28" s="13" t="s">
        <v>277</v>
      </c>
      <c r="G28" s="14"/>
      <c r="H28" s="19">
        <v>1116495</v>
      </c>
      <c r="I28" s="17">
        <v>729</v>
      </c>
      <c r="J28" s="17"/>
      <c r="K28" s="17"/>
      <c r="L28" s="15">
        <v>0.25854123842919136</v>
      </c>
    </row>
    <row r="29" spans="1:12" x14ac:dyDescent="0.2">
      <c r="A29" s="13" t="s">
        <v>249</v>
      </c>
      <c r="B29" s="13" t="s">
        <v>272</v>
      </c>
      <c r="C29" s="18" t="s">
        <v>273</v>
      </c>
      <c r="D29" s="13" t="s">
        <v>252</v>
      </c>
      <c r="E29" s="13" t="s">
        <v>278</v>
      </c>
      <c r="F29" s="13" t="s">
        <v>225</v>
      </c>
      <c r="G29" s="14"/>
      <c r="H29" s="19">
        <v>1116495</v>
      </c>
      <c r="I29" s="17">
        <v>58805</v>
      </c>
      <c r="J29" s="17"/>
      <c r="K29" s="17"/>
      <c r="L29" s="15">
        <v>0.25854123842919136</v>
      </c>
    </row>
    <row r="30" spans="1:12" x14ac:dyDescent="0.2">
      <c r="A30" s="13" t="s">
        <v>249</v>
      </c>
      <c r="B30" s="13" t="s">
        <v>272</v>
      </c>
      <c r="C30" s="18" t="s">
        <v>273</v>
      </c>
      <c r="D30" s="13" t="s">
        <v>252</v>
      </c>
      <c r="E30" s="13" t="s">
        <v>279</v>
      </c>
      <c r="F30" s="13" t="s">
        <v>242</v>
      </c>
      <c r="G30" s="14"/>
      <c r="H30" s="19">
        <v>1116495</v>
      </c>
      <c r="I30" s="17">
        <v>19751</v>
      </c>
      <c r="J30" s="17"/>
      <c r="K30" s="17"/>
      <c r="L30" s="15">
        <v>0.25854123842919136</v>
      </c>
    </row>
    <row r="31" spans="1:12" x14ac:dyDescent="0.2">
      <c r="A31" s="13" t="s">
        <v>249</v>
      </c>
      <c r="B31" s="13" t="s">
        <v>272</v>
      </c>
      <c r="C31" s="18" t="s">
        <v>273</v>
      </c>
      <c r="D31" s="13" t="s">
        <v>252</v>
      </c>
      <c r="E31" s="13" t="s">
        <v>280</v>
      </c>
      <c r="F31" s="13" t="s">
        <v>259</v>
      </c>
      <c r="G31" s="14"/>
      <c r="H31" s="19">
        <v>1116495</v>
      </c>
      <c r="I31" s="17">
        <v>14094</v>
      </c>
      <c r="J31" s="17"/>
      <c r="K31" s="17"/>
      <c r="L31" s="15">
        <v>0.25854123842919136</v>
      </c>
    </row>
    <row r="32" spans="1:12" x14ac:dyDescent="0.2">
      <c r="A32" s="13" t="s">
        <v>249</v>
      </c>
      <c r="B32" s="13" t="s">
        <v>272</v>
      </c>
      <c r="C32" s="18" t="s">
        <v>273</v>
      </c>
      <c r="D32" s="13" t="s">
        <v>252</v>
      </c>
      <c r="E32" s="13" t="s">
        <v>281</v>
      </c>
      <c r="F32" s="13" t="s">
        <v>282</v>
      </c>
      <c r="G32" s="14">
        <v>1</v>
      </c>
      <c r="H32" s="19">
        <v>1116495</v>
      </c>
      <c r="I32" s="17">
        <v>4287</v>
      </c>
      <c r="J32" s="17"/>
      <c r="K32" s="17"/>
      <c r="L32" s="15">
        <v>0.25854123842919136</v>
      </c>
    </row>
    <row r="33" spans="1:12" x14ac:dyDescent="0.2">
      <c r="A33" s="13" t="s">
        <v>249</v>
      </c>
      <c r="B33" s="13" t="s">
        <v>272</v>
      </c>
      <c r="C33" s="18" t="s">
        <v>273</v>
      </c>
      <c r="D33" s="13" t="s">
        <v>252</v>
      </c>
      <c r="E33" s="13" t="s">
        <v>283</v>
      </c>
      <c r="F33" s="13" t="s">
        <v>228</v>
      </c>
      <c r="G33" s="14"/>
      <c r="H33" s="19">
        <v>1116495</v>
      </c>
      <c r="I33" s="17">
        <v>171167</v>
      </c>
      <c r="J33" s="17"/>
      <c r="K33" s="17"/>
      <c r="L33" s="15">
        <v>0.25854123842919136</v>
      </c>
    </row>
    <row r="34" spans="1:12" x14ac:dyDescent="0.2">
      <c r="A34" s="13" t="s">
        <v>249</v>
      </c>
      <c r="B34" s="13" t="s">
        <v>272</v>
      </c>
      <c r="C34" s="18" t="s">
        <v>273</v>
      </c>
      <c r="D34" s="13" t="s">
        <v>252</v>
      </c>
      <c r="E34" s="13" t="s">
        <v>284</v>
      </c>
      <c r="F34" s="13" t="s">
        <v>12</v>
      </c>
      <c r="G34" s="14">
        <v>1</v>
      </c>
      <c r="H34" s="19">
        <v>1116495</v>
      </c>
      <c r="I34" s="17">
        <v>11946</v>
      </c>
      <c r="J34" s="17"/>
      <c r="K34" s="17"/>
      <c r="L34" s="15">
        <v>0.25854123842919136</v>
      </c>
    </row>
    <row r="35" spans="1:12" x14ac:dyDescent="0.2">
      <c r="A35" s="13" t="s">
        <v>249</v>
      </c>
      <c r="B35" s="13" t="s">
        <v>285</v>
      </c>
      <c r="C35" s="18" t="s">
        <v>286</v>
      </c>
      <c r="D35" s="13" t="s">
        <v>252</v>
      </c>
      <c r="E35" s="13" t="s">
        <v>287</v>
      </c>
      <c r="F35" s="13" t="s">
        <v>242</v>
      </c>
      <c r="G35" s="14"/>
      <c r="H35" s="17">
        <v>486964</v>
      </c>
      <c r="I35" s="17">
        <v>12550</v>
      </c>
      <c r="J35" s="17"/>
      <c r="K35" s="17"/>
      <c r="L35" s="15">
        <v>0.20966642297993282</v>
      </c>
    </row>
    <row r="36" spans="1:12" x14ac:dyDescent="0.2">
      <c r="A36" s="13" t="s">
        <v>249</v>
      </c>
      <c r="B36" s="13" t="s">
        <v>285</v>
      </c>
      <c r="C36" s="18" t="s">
        <v>286</v>
      </c>
      <c r="D36" s="13" t="s">
        <v>252</v>
      </c>
      <c r="E36" s="13" t="s">
        <v>288</v>
      </c>
      <c r="F36" s="13" t="s">
        <v>225</v>
      </c>
      <c r="G36" s="14"/>
      <c r="H36" s="17">
        <v>486964</v>
      </c>
      <c r="I36" s="17">
        <v>40278</v>
      </c>
      <c r="J36" s="17">
        <v>8300</v>
      </c>
      <c r="K36" s="17">
        <v>48578</v>
      </c>
      <c r="L36" s="15">
        <v>0.20966642297993282</v>
      </c>
    </row>
    <row r="37" spans="1:12" x14ac:dyDescent="0.2">
      <c r="A37" s="13" t="s">
        <v>249</v>
      </c>
      <c r="B37" s="13" t="s">
        <v>285</v>
      </c>
      <c r="C37" s="18" t="s">
        <v>286</v>
      </c>
      <c r="D37" s="13" t="s">
        <v>252</v>
      </c>
      <c r="E37" s="13" t="s">
        <v>289</v>
      </c>
      <c r="F37" s="13" t="s">
        <v>228</v>
      </c>
      <c r="G37" s="14">
        <v>1</v>
      </c>
      <c r="H37" s="17">
        <v>486964</v>
      </c>
      <c r="I37" s="17">
        <v>39797</v>
      </c>
      <c r="J37" s="17">
        <v>6603</v>
      </c>
      <c r="K37" s="17">
        <v>46400</v>
      </c>
      <c r="L37" s="15">
        <v>0.20966642297993282</v>
      </c>
    </row>
    <row r="38" spans="1:12" x14ac:dyDescent="0.2">
      <c r="A38" s="13" t="s">
        <v>249</v>
      </c>
      <c r="B38" s="13" t="s">
        <v>285</v>
      </c>
      <c r="C38" s="18" t="s">
        <v>286</v>
      </c>
      <c r="D38" s="13" t="s">
        <v>252</v>
      </c>
      <c r="E38" s="13" t="s">
        <v>290</v>
      </c>
      <c r="F38" s="13" t="s">
        <v>12</v>
      </c>
      <c r="G38" s="14"/>
      <c r="H38" s="17">
        <v>486964</v>
      </c>
      <c r="I38" s="17">
        <v>9475</v>
      </c>
      <c r="J38" s="17"/>
      <c r="K38" s="17"/>
      <c r="L38" s="15">
        <v>0.20966642297993282</v>
      </c>
    </row>
    <row r="39" spans="1:12" x14ac:dyDescent="0.2">
      <c r="A39" s="13" t="s">
        <v>249</v>
      </c>
      <c r="B39" s="13" t="s">
        <v>291</v>
      </c>
      <c r="C39" s="18" t="s">
        <v>70</v>
      </c>
      <c r="D39" s="13" t="s">
        <v>252</v>
      </c>
      <c r="E39" s="13" t="s">
        <v>292</v>
      </c>
      <c r="F39" s="13" t="s">
        <v>259</v>
      </c>
      <c r="G39" s="14"/>
      <c r="H39" s="17">
        <v>1961153</v>
      </c>
      <c r="I39" s="17">
        <v>24260</v>
      </c>
      <c r="J39" s="17"/>
      <c r="K39" s="17"/>
      <c r="L39" s="15">
        <v>0.26307177461421927</v>
      </c>
    </row>
    <row r="40" spans="1:12" x14ac:dyDescent="0.2">
      <c r="A40" s="13" t="s">
        <v>249</v>
      </c>
      <c r="B40" s="13" t="s">
        <v>291</v>
      </c>
      <c r="C40" s="18" t="s">
        <v>70</v>
      </c>
      <c r="D40" s="13" t="s">
        <v>252</v>
      </c>
      <c r="E40" s="13" t="s">
        <v>293</v>
      </c>
      <c r="F40" s="13" t="s">
        <v>12</v>
      </c>
      <c r="G40" s="14"/>
      <c r="H40" s="17">
        <v>1961153</v>
      </c>
      <c r="I40" s="17">
        <v>29051</v>
      </c>
      <c r="J40" s="17"/>
      <c r="K40" s="17"/>
      <c r="L40" s="15">
        <v>0.26307177461421927</v>
      </c>
    </row>
    <row r="41" spans="1:12" x14ac:dyDescent="0.2">
      <c r="A41" s="13" t="s">
        <v>249</v>
      </c>
      <c r="B41" s="13" t="s">
        <v>291</v>
      </c>
      <c r="C41" s="18" t="s">
        <v>70</v>
      </c>
      <c r="D41" s="13" t="s">
        <v>252</v>
      </c>
      <c r="E41" s="13" t="s">
        <v>294</v>
      </c>
      <c r="F41" s="13" t="s">
        <v>242</v>
      </c>
      <c r="G41" s="14">
        <v>1</v>
      </c>
      <c r="H41" s="17">
        <v>1961153</v>
      </c>
      <c r="I41" s="17">
        <v>30378</v>
      </c>
      <c r="J41" s="17"/>
      <c r="K41" s="17"/>
      <c r="L41" s="15">
        <v>0.26307177461421927</v>
      </c>
    </row>
    <row r="42" spans="1:12" x14ac:dyDescent="0.2">
      <c r="A42" s="13" t="s">
        <v>249</v>
      </c>
      <c r="B42" s="13" t="s">
        <v>291</v>
      </c>
      <c r="C42" s="18" t="s">
        <v>70</v>
      </c>
      <c r="D42" s="13" t="s">
        <v>252</v>
      </c>
      <c r="E42" s="13" t="s">
        <v>295</v>
      </c>
      <c r="F42" s="13" t="s">
        <v>228</v>
      </c>
      <c r="G42" s="14"/>
      <c r="H42" s="17">
        <v>1961153</v>
      </c>
      <c r="I42" s="17">
        <v>210259</v>
      </c>
      <c r="J42" s="17">
        <v>24603</v>
      </c>
      <c r="K42" s="17">
        <v>234862</v>
      </c>
      <c r="L42" s="15">
        <v>0.26307177461421927</v>
      </c>
    </row>
    <row r="43" spans="1:12" x14ac:dyDescent="0.2">
      <c r="A43" s="13" t="s">
        <v>249</v>
      </c>
      <c r="B43" s="13" t="s">
        <v>291</v>
      </c>
      <c r="C43" s="18" t="s">
        <v>70</v>
      </c>
      <c r="D43" s="13" t="s">
        <v>252</v>
      </c>
      <c r="E43" s="13" t="s">
        <v>296</v>
      </c>
      <c r="F43" s="13" t="s">
        <v>297</v>
      </c>
      <c r="G43" s="14"/>
      <c r="H43" s="17">
        <v>1961153</v>
      </c>
      <c r="I43" s="17">
        <v>5696</v>
      </c>
      <c r="J43" s="17"/>
      <c r="K43" s="17"/>
      <c r="L43" s="15">
        <v>0.26307177461421927</v>
      </c>
    </row>
    <row r="44" spans="1:12" x14ac:dyDescent="0.2">
      <c r="A44" s="13" t="s">
        <v>249</v>
      </c>
      <c r="B44" s="13" t="s">
        <v>291</v>
      </c>
      <c r="C44" s="18" t="s">
        <v>70</v>
      </c>
      <c r="D44" s="13" t="s">
        <v>252</v>
      </c>
      <c r="E44" s="13" t="s">
        <v>298</v>
      </c>
      <c r="F44" s="13" t="s">
        <v>225</v>
      </c>
      <c r="G44" s="14"/>
      <c r="H44" s="17">
        <v>1961153</v>
      </c>
      <c r="I44" s="17">
        <v>216280</v>
      </c>
      <c r="J44" s="17">
        <v>22348</v>
      </c>
      <c r="K44" s="17">
        <v>238628</v>
      </c>
      <c r="L44" s="15">
        <v>0.26307177461421927</v>
      </c>
    </row>
    <row r="45" spans="1:12" x14ac:dyDescent="0.2">
      <c r="A45" s="13" t="s">
        <v>249</v>
      </c>
      <c r="B45" s="13" t="s">
        <v>299</v>
      </c>
      <c r="C45" s="13" t="s">
        <v>300</v>
      </c>
      <c r="D45" s="13" t="s">
        <v>252</v>
      </c>
      <c r="E45" s="13" t="s">
        <v>301</v>
      </c>
      <c r="F45" s="13" t="s">
        <v>225</v>
      </c>
      <c r="G45" s="14"/>
      <c r="H45" s="19">
        <v>671280</v>
      </c>
      <c r="I45" s="17">
        <v>53796</v>
      </c>
      <c r="J45" s="17">
        <v>16504</v>
      </c>
      <c r="K45" s="17">
        <v>70300</v>
      </c>
      <c r="L45" s="15">
        <v>0.29339917769038254</v>
      </c>
    </row>
    <row r="46" spans="1:12" x14ac:dyDescent="0.2">
      <c r="A46" s="13" t="s">
        <v>249</v>
      </c>
      <c r="B46" s="13" t="s">
        <v>299</v>
      </c>
      <c r="C46" s="13" t="s">
        <v>300</v>
      </c>
      <c r="D46" s="13" t="s">
        <v>252</v>
      </c>
      <c r="E46" s="13" t="s">
        <v>302</v>
      </c>
      <c r="F46" s="13" t="s">
        <v>12</v>
      </c>
      <c r="G46" s="14"/>
      <c r="H46" s="17">
        <v>671280</v>
      </c>
      <c r="I46" s="17">
        <v>8182</v>
      </c>
      <c r="J46" s="17"/>
      <c r="K46" s="17"/>
      <c r="L46" s="15">
        <v>0.29339917769038254</v>
      </c>
    </row>
    <row r="47" spans="1:12" x14ac:dyDescent="0.2">
      <c r="A47" s="13" t="s">
        <v>249</v>
      </c>
      <c r="B47" s="13" t="s">
        <v>299</v>
      </c>
      <c r="C47" s="13" t="s">
        <v>300</v>
      </c>
      <c r="D47" s="13" t="s">
        <v>252</v>
      </c>
      <c r="E47" s="13" t="s">
        <v>303</v>
      </c>
      <c r="F47" s="13" t="s">
        <v>259</v>
      </c>
      <c r="G47" s="14"/>
      <c r="H47" s="17">
        <v>671280</v>
      </c>
      <c r="I47" s="17">
        <v>22054</v>
      </c>
      <c r="J47" s="17"/>
      <c r="K47" s="17"/>
      <c r="L47" s="15">
        <v>0.29339917769038254</v>
      </c>
    </row>
    <row r="48" spans="1:12" x14ac:dyDescent="0.2">
      <c r="A48" s="13" t="s">
        <v>249</v>
      </c>
      <c r="B48" s="13" t="s">
        <v>299</v>
      </c>
      <c r="C48" s="13" t="s">
        <v>300</v>
      </c>
      <c r="D48" s="13" t="s">
        <v>252</v>
      </c>
      <c r="E48" s="13" t="s">
        <v>304</v>
      </c>
      <c r="F48" s="13" t="s">
        <v>228</v>
      </c>
      <c r="G48" s="14">
        <v>1</v>
      </c>
      <c r="H48" s="17">
        <v>671280</v>
      </c>
      <c r="I48" s="17">
        <v>43627</v>
      </c>
      <c r="J48" s="17">
        <v>22296</v>
      </c>
      <c r="K48" s="17">
        <v>65923</v>
      </c>
      <c r="L48" s="15">
        <v>0.29339917769038254</v>
      </c>
    </row>
    <row r="49" spans="1:12" x14ac:dyDescent="0.2">
      <c r="A49" s="13" t="s">
        <v>249</v>
      </c>
      <c r="B49" s="13" t="s">
        <v>299</v>
      </c>
      <c r="C49" s="13" t="s">
        <v>300</v>
      </c>
      <c r="D49" s="13" t="s">
        <v>252</v>
      </c>
      <c r="E49" s="13" t="s">
        <v>305</v>
      </c>
      <c r="F49" s="13" t="s">
        <v>231</v>
      </c>
      <c r="G49" s="14"/>
      <c r="H49" s="17">
        <v>671280</v>
      </c>
      <c r="I49" s="17">
        <v>29500</v>
      </c>
      <c r="J49" s="17"/>
      <c r="K49" s="17"/>
      <c r="L49" s="15">
        <v>0.29339917769038254</v>
      </c>
    </row>
    <row r="50" spans="1:12" x14ac:dyDescent="0.2">
      <c r="A50" s="13" t="s">
        <v>249</v>
      </c>
      <c r="B50" s="13" t="s">
        <v>299</v>
      </c>
      <c r="C50" s="13" t="s">
        <v>300</v>
      </c>
      <c r="D50" s="13" t="s">
        <v>252</v>
      </c>
      <c r="E50" s="13" t="s">
        <v>306</v>
      </c>
      <c r="F50" s="13" t="s">
        <v>242</v>
      </c>
      <c r="G50" s="14"/>
      <c r="H50" s="17">
        <v>671280</v>
      </c>
      <c r="I50" s="17">
        <v>39794</v>
      </c>
      <c r="J50" s="17"/>
      <c r="K50" s="17"/>
      <c r="L50" s="15">
        <v>0.29339917769038254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England</vt:lpstr>
      <vt:lpstr>Scotland</vt:lpstr>
      <vt:lpstr>Wales</vt:lpstr>
      <vt:lpstr>Mayors</vt:lpstr>
    </vt:vector>
  </TitlesOfParts>
  <Company>Houses of Parliament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DEMPSEY, Noel</dc:creator>
  <cp:lastModifiedBy>DEMPSEY, Noel</cp:lastModifiedBy>
  <dcterms:created xsi:type="dcterms:W3CDTF">2017-05-30T15:41:46Z</dcterms:created>
  <dcterms:modified xsi:type="dcterms:W3CDTF">2017-06-09T10:56:32Z</dcterms:modified>
</cp:coreProperties>
</file>